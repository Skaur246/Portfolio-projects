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kaurs\OneDrive\Desktop\"/>
    </mc:Choice>
  </mc:AlternateContent>
  <xr:revisionPtr revIDLastSave="0" documentId="13_ncr:1_{5BD3FC47-E3B5-4E76-8B94-A4D15EF4DFA9}" xr6:coauthVersionLast="47" xr6:coauthVersionMax="47" xr10:uidLastSave="{00000000-0000-0000-0000-000000000000}"/>
  <bookViews>
    <workbookView xWindow="-120" yWindow="-120" windowWidth="20730" windowHeight="11040" xr2:uid="{F5E81DBC-EC87-4333-BE40-015EC72AEB42}"/>
  </bookViews>
  <sheets>
    <sheet name="0438928_Temp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1" l="1" a="1"/>
  <c r="K12" i="1" s="1"/>
  <c r="I12" i="1" a="1"/>
  <c r="I12" i="1" s="1"/>
  <c r="K3" i="1"/>
  <c r="K4" i="1"/>
  <c r="K5" i="1"/>
  <c r="K6" i="1"/>
  <c r="K7" i="1"/>
  <c r="K8" i="1"/>
  <c r="K9" i="1"/>
  <c r="K10" i="1"/>
  <c r="K11" i="1"/>
  <c r="K2" i="1"/>
  <c r="I3" i="1"/>
  <c r="I4" i="1"/>
  <c r="I5" i="1"/>
  <c r="I6" i="1"/>
  <c r="I7" i="1"/>
  <c r="I8" i="1"/>
  <c r="I9" i="1"/>
  <c r="I10" i="1"/>
  <c r="I11" i="1"/>
  <c r="I2" i="1"/>
  <c r="G3" i="1"/>
  <c r="G4" i="1"/>
  <c r="G5" i="1"/>
  <c r="G6" i="1"/>
  <c r="G7" i="1"/>
  <c r="G8" i="1"/>
  <c r="G9" i="1"/>
  <c r="G10" i="1"/>
  <c r="G11" i="1"/>
  <c r="G2" i="1"/>
  <c r="F3" i="1"/>
  <c r="F4" i="1"/>
  <c r="F5" i="1"/>
  <c r="F6" i="1"/>
  <c r="F7" i="1"/>
  <c r="F8" i="1"/>
  <c r="F9" i="1"/>
  <c r="F10" i="1"/>
  <c r="F11" i="1"/>
  <c r="F2" i="1"/>
  <c r="E3" i="1"/>
  <c r="E4" i="1"/>
  <c r="E5" i="1"/>
  <c r="E6" i="1"/>
  <c r="E7" i="1"/>
  <c r="E8" i="1"/>
  <c r="E9" i="1"/>
  <c r="E10" i="1"/>
  <c r="E11" i="1"/>
  <c r="E2" i="1"/>
  <c r="C27" i="1"/>
  <c r="B28" i="1"/>
  <c r="B26" i="1"/>
  <c r="A27" i="1"/>
  <c r="D20" i="1"/>
  <c r="D31" i="1" s="1"/>
  <c r="A22" i="1"/>
  <c r="A21" i="1"/>
  <c r="A20" i="1"/>
  <c r="D14" i="1"/>
  <c r="C14" i="1"/>
  <c r="B14" i="1"/>
  <c r="D13" i="1"/>
  <c r="C13" i="1"/>
  <c r="B13" i="1"/>
  <c r="A33" i="1" l="1"/>
  <c r="A31" i="1"/>
  <c r="C20" i="1"/>
  <c r="B20" i="1" s="1"/>
  <c r="B21" i="1"/>
  <c r="B22" i="1"/>
  <c r="A32" i="1"/>
  <c r="C31" i="1" l="1"/>
  <c r="B33" i="1"/>
  <c r="H2" i="1"/>
  <c r="H11" i="1"/>
  <c r="H10" i="1"/>
  <c r="H9" i="1"/>
  <c r="H8" i="1"/>
  <c r="H7" i="1"/>
  <c r="H6" i="1"/>
  <c r="H5" i="1"/>
  <c r="H4" i="1"/>
  <c r="H3" i="1"/>
  <c r="B32" i="1" l="1"/>
  <c r="B31" i="1"/>
  <c r="J2" i="1" l="1"/>
  <c r="J11" i="1"/>
  <c r="J10" i="1"/>
  <c r="J9" i="1"/>
  <c r="J8" i="1"/>
  <c r="J7" i="1"/>
  <c r="J6" i="1"/>
  <c r="J5" i="1"/>
  <c r="J4" i="1"/>
  <c r="J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<sst xmlns="http://schemas.openxmlformats.org/spreadsheetml/2006/main" count="39" uniqueCount="31">
  <si>
    <t>Condition</t>
  </si>
  <si>
    <t>Voltage</t>
  </si>
  <si>
    <t>Current</t>
  </si>
  <si>
    <t>Temperature</t>
  </si>
  <si>
    <t>z_voltage</t>
  </si>
  <si>
    <t>z_current</t>
  </si>
  <si>
    <t>z_temp</t>
  </si>
  <si>
    <t>v · ŵ₁ + B₁</t>
  </si>
  <si>
    <t>Prediction 1</t>
  </si>
  <si>
    <t>v · ŵ₂ + B₂</t>
  </si>
  <si>
    <t>Prediction 2</t>
  </si>
  <si>
    <t>normal</t>
  </si>
  <si>
    <t>failed</t>
  </si>
  <si>
    <t>Accuracy</t>
  </si>
  <si>
    <t>Mean</t>
  </si>
  <si>
    <t>SD s</t>
  </si>
  <si>
    <t>a</t>
  </si>
  <si>
    <t>b</t>
  </si>
  <si>
    <t>c</t>
  </si>
  <si>
    <t>d</t>
  </si>
  <si>
    <t>w1</t>
  </si>
  <si>
    <t>^w1</t>
  </si>
  <si>
    <t>||w1||</t>
  </si>
  <si>
    <t>B1</t>
  </si>
  <si>
    <t>Me₁</t>
  </si>
  <si>
    <t>Me₂</t>
  </si>
  <si>
    <t>Me₃</t>
  </si>
  <si>
    <t>w2</t>
  </si>
  <si>
    <t>^w2</t>
  </si>
  <si>
    <t>||w2||</t>
  </si>
  <si>
    <t>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</si>
</sst>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0" fillId="0" borderId="10" xfId="0" applyBorder="1" applyAlignment="1">
      <alignment horizontal="center"/>
    </xf>
    <xf numFmtId="0" fontId="0" fillId="0" borderId="10" xfId="0" applyBorder="1"/>
    <xf numFmtId="0" fontId="16" fillId="0" borderId="10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BC7FA-044A-4C04-8F12-A45FA826C746}">
  <dimension ref="A1:K33"/>
  <sheetViews>
    <sheetView tabSelected="1" workbookViewId="0">
      <selection activeCell="K13" sqref="K13"/>
    </sheetView>
  </sheetViews>
  <sheetFormatPr defaultRowHeight="15" x14ac:dyDescent="0.25"/>
  <cols>
    <col min="1" max="1" width="10.28515625" customWidth="1"/>
    <col min="2" max="2" width="13.140625" customWidth="1"/>
    <col min="3" max="3" width="12.5703125" bestFit="1" customWidth="1"/>
    <col min="4" max="4" width="12.5703125" customWidth="1"/>
    <col min="5" max="5" width="12.7109375" customWidth="1"/>
    <col min="6" max="6" width="13.140625" customWidth="1"/>
    <col min="7" max="7" width="10.85546875" customWidth="1"/>
    <col min="8" max="9" width="11.42578125" customWidth="1"/>
    <col min="10" max="10" width="13.140625" customWidth="1"/>
    <col min="11" max="11" width="10.5703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s="1" t="s">
        <v>9</v>
      </c>
      <c r="K1" t="s">
        <v>10</v>
      </c>
    </row>
    <row r="2" spans="1:11" x14ac:dyDescent="0.25">
      <c r="A2" t="s">
        <v>11</v>
      </c>
      <c r="B2">
        <v>11.545186556283999</v>
      </c>
      <c r="C2">
        <v>474.24558057047898</v>
      </c>
      <c r="D2">
        <v>1.34292340803963</v>
      </c>
      <c r="E2">
        <f>(B2-$B$13)/$B$14</f>
        <v>-1.0460718990304168</v>
      </c>
      <c r="F2">
        <f>(C2-$C$13)/$C$14</f>
        <v>-0.9489533847419076</v>
      </c>
      <c r="G2">
        <f>(D2-$D$13)/$D$14</f>
        <v>-0.99610227805959728</v>
      </c>
      <c r="H2">
        <f>(E2*$B$20) + (F2*$B$21) + (G2*$B$22) + $D$20</f>
        <v>1.1818860644326188</v>
      </c>
      <c r="I2" t="str">
        <f>IF(H2&gt;=0,"Normal","Failed")</f>
        <v>Normal</v>
      </c>
      <c r="J2">
        <f>(E2*$B$31) + (F2*$B$32) + (G2*$B$33) + $D$31</f>
        <v>-2.2824317248844745</v>
      </c>
      <c r="K2" t="str">
        <f>IF(J2&gt;=0,"Normal","Failed")</f>
        <v>Failed</v>
      </c>
    </row>
    <row r="3" spans="1:11" x14ac:dyDescent="0.25">
      <c r="A3" t="s">
        <v>11</v>
      </c>
      <c r="B3">
        <v>12.8712113716423</v>
      </c>
      <c r="C3">
        <v>476.521736272135</v>
      </c>
      <c r="D3">
        <v>4.6679215517258799</v>
      </c>
      <c r="E3">
        <f t="shared" ref="E3:E11" si="0">(B3-$B$13)/$B$14</f>
        <v>-0.93498540049036727</v>
      </c>
      <c r="F3">
        <f t="shared" ref="F3:F11" si="1">(C3-$C$13)/$C$14</f>
        <v>-0.94793983055280995</v>
      </c>
      <c r="G3">
        <f t="shared" ref="G3:G11" si="2">(D3-$D$13)/$D$14</f>
        <v>-0.87743904161496933</v>
      </c>
      <c r="H3">
        <f t="shared" ref="H3:H11" si="3">(E3*$B$20) + (F3*$B$21) + (G3*$B$22) + $D$20</f>
        <v>1.0318997791834843</v>
      </c>
      <c r="I3" t="str">
        <f t="shared" ref="I3:I11" si="4">IF(H3&gt;=0,"Normal","Failed")</f>
        <v>Normal</v>
      </c>
      <c r="J3">
        <f t="shared" ref="J3:J11" si="5">(E3*$B$31) + (F3*$B$32) + (G3*$B$33) + $D$31</f>
        <v>-2.1312852875772359</v>
      </c>
      <c r="K3" t="str">
        <f t="shared" ref="K3:K11" si="6">IF(J3&gt;=0,"Normal","Failed")</f>
        <v>Failed</v>
      </c>
    </row>
    <row r="4" spans="1:11" x14ac:dyDescent="0.25">
      <c r="A4" t="s">
        <v>11</v>
      </c>
      <c r="B4">
        <v>14.409117805873001</v>
      </c>
      <c r="C4">
        <v>474.577855154335</v>
      </c>
      <c r="D4">
        <v>5.1033166603993703</v>
      </c>
      <c r="E4">
        <f t="shared" si="0"/>
        <v>-0.80614871592595405</v>
      </c>
      <c r="F4">
        <f t="shared" si="1"/>
        <v>-0.94880542548931657</v>
      </c>
      <c r="G4">
        <f t="shared" si="2"/>
        <v>-0.86190056896184541</v>
      </c>
      <c r="H4">
        <f t="shared" si="3"/>
        <v>0.96940561398835989</v>
      </c>
      <c r="I4" t="str">
        <f t="shared" si="4"/>
        <v>Normal</v>
      </c>
      <c r="J4">
        <f t="shared" si="5"/>
        <v>-2.068730799238617</v>
      </c>
      <c r="K4" t="str">
        <f t="shared" si="6"/>
        <v>Failed</v>
      </c>
    </row>
    <row r="5" spans="1:11" x14ac:dyDescent="0.25">
      <c r="A5" t="s">
        <v>11</v>
      </c>
      <c r="B5">
        <v>13.4518889450329</v>
      </c>
      <c r="C5">
        <v>474.02570896269901</v>
      </c>
      <c r="D5">
        <v>1.0988998704413699</v>
      </c>
      <c r="E5">
        <f t="shared" si="0"/>
        <v>-0.88633967556759141</v>
      </c>
      <c r="F5">
        <f t="shared" si="1"/>
        <v>-0.94905129183541925</v>
      </c>
      <c r="G5">
        <f t="shared" si="2"/>
        <v>-1.0048110416404319</v>
      </c>
      <c r="H5">
        <f t="shared" si="3"/>
        <v>1.1301595371500466</v>
      </c>
      <c r="I5" t="str">
        <f t="shared" si="4"/>
        <v>Normal</v>
      </c>
      <c r="J5">
        <f t="shared" si="5"/>
        <v>-2.2305680166140185</v>
      </c>
      <c r="K5" t="str">
        <f t="shared" si="6"/>
        <v>Failed</v>
      </c>
    </row>
    <row r="6" spans="1:11" x14ac:dyDescent="0.25">
      <c r="A6" t="s">
        <v>11</v>
      </c>
      <c r="B6">
        <v>11.9092483160639</v>
      </c>
      <c r="C6">
        <v>474.95209046555601</v>
      </c>
      <c r="D6">
        <v>1.73313898023075</v>
      </c>
      <c r="E6">
        <f t="shared" si="0"/>
        <v>-1.0155729629035313</v>
      </c>
      <c r="F6">
        <f t="shared" si="1"/>
        <v>-0.94863878145564151</v>
      </c>
      <c r="G6">
        <f t="shared" si="2"/>
        <v>-0.98217618225253156</v>
      </c>
      <c r="H6">
        <f t="shared" si="3"/>
        <v>1.15778846800769</v>
      </c>
      <c r="I6" t="str">
        <f t="shared" si="4"/>
        <v>Normal</v>
      </c>
      <c r="J6">
        <f t="shared" si="5"/>
        <v>-2.2581258558886925</v>
      </c>
      <c r="K6" t="str">
        <f t="shared" si="6"/>
        <v>Failed</v>
      </c>
    </row>
    <row r="7" spans="1:11" x14ac:dyDescent="0.25">
      <c r="A7" t="s">
        <v>12</v>
      </c>
      <c r="B7">
        <v>31.284207496570598</v>
      </c>
      <c r="C7">
        <v>4733.0493441540402</v>
      </c>
      <c r="D7">
        <v>61.263294162823001</v>
      </c>
      <c r="E7">
        <f t="shared" si="0"/>
        <v>0.60754626517615762</v>
      </c>
      <c r="F7">
        <f t="shared" si="1"/>
        <v>0.94745835544988122</v>
      </c>
      <c r="G7">
        <f t="shared" si="2"/>
        <v>1.1423485767856225</v>
      </c>
      <c r="H7">
        <f t="shared" si="3"/>
        <v>-1.1101936888574195</v>
      </c>
      <c r="I7" t="str">
        <f t="shared" si="4"/>
        <v>Failed</v>
      </c>
      <c r="J7">
        <f t="shared" si="5"/>
        <v>0.49458973277668905</v>
      </c>
      <c r="K7" t="str">
        <f t="shared" si="6"/>
        <v>Normal</v>
      </c>
    </row>
    <row r="8" spans="1:11" x14ac:dyDescent="0.25">
      <c r="A8" t="s">
        <v>12</v>
      </c>
      <c r="B8">
        <v>35.243697932310702</v>
      </c>
      <c r="C8">
        <v>4721.2631918274201</v>
      </c>
      <c r="D8">
        <v>55.928279323016298</v>
      </c>
      <c r="E8">
        <f t="shared" si="0"/>
        <v>0.93924890257388538</v>
      </c>
      <c r="F8">
        <f t="shared" si="1"/>
        <v>0.94221007473898888</v>
      </c>
      <c r="G8">
        <f t="shared" si="2"/>
        <v>0.95195143970038776</v>
      </c>
      <c r="H8">
        <f t="shared" si="3"/>
        <v>-1.0606208484632949</v>
      </c>
      <c r="I8" t="str">
        <f t="shared" si="4"/>
        <v>Failed</v>
      </c>
      <c r="J8">
        <f t="shared" si="5"/>
        <v>0.44295257621410666</v>
      </c>
      <c r="K8" t="str">
        <f t="shared" si="6"/>
        <v>Normal</v>
      </c>
    </row>
    <row r="9" spans="1:11" x14ac:dyDescent="0.25">
      <c r="A9" t="s">
        <v>12</v>
      </c>
      <c r="B9">
        <v>35.426666836234297</v>
      </c>
      <c r="C9">
        <v>4753.3632694456901</v>
      </c>
      <c r="D9">
        <v>52.4033734411857</v>
      </c>
      <c r="E9">
        <f t="shared" si="0"/>
        <v>0.95457695273039078</v>
      </c>
      <c r="F9">
        <f t="shared" si="1"/>
        <v>0.9565039862304946</v>
      </c>
      <c r="G9">
        <f t="shared" si="2"/>
        <v>0.82615385364910565</v>
      </c>
      <c r="H9">
        <f t="shared" si="3"/>
        <v>-0.94905065714465953</v>
      </c>
      <c r="I9" t="str">
        <f t="shared" si="4"/>
        <v>Failed</v>
      </c>
      <c r="J9">
        <f t="shared" si="5"/>
        <v>0.33413429583263587</v>
      </c>
      <c r="K9" t="str">
        <f t="shared" si="6"/>
        <v>Normal</v>
      </c>
    </row>
    <row r="10" spans="1:11" x14ac:dyDescent="0.25">
      <c r="A10" t="s">
        <v>12</v>
      </c>
      <c r="B10">
        <v>37.891870848511999</v>
      </c>
      <c r="C10">
        <v>4735.2849557018899</v>
      </c>
      <c r="D10">
        <v>53.339222712132297</v>
      </c>
      <c r="E10">
        <f t="shared" si="0"/>
        <v>1.1610971314925167</v>
      </c>
      <c r="F10">
        <f t="shared" si="1"/>
        <v>0.94845385564693252</v>
      </c>
      <c r="G10">
        <f t="shared" si="2"/>
        <v>0.85955264020955546</v>
      </c>
      <c r="H10">
        <f t="shared" si="3"/>
        <v>-1.0579954394039535</v>
      </c>
      <c r="I10" t="str">
        <f t="shared" si="4"/>
        <v>Failed</v>
      </c>
      <c r="J10">
        <f t="shared" si="5"/>
        <v>0.44158223705845923</v>
      </c>
      <c r="K10" t="str">
        <f t="shared" si="6"/>
        <v>Normal</v>
      </c>
    </row>
    <row r="11" spans="1:11" x14ac:dyDescent="0.25">
      <c r="A11" t="s">
        <v>12</v>
      </c>
      <c r="B11">
        <v>36.286986113717397</v>
      </c>
      <c r="C11">
        <v>4735.9779532885696</v>
      </c>
      <c r="D11">
        <v>55.6612769387865</v>
      </c>
      <c r="E11">
        <f t="shared" si="0"/>
        <v>1.0266494019449095</v>
      </c>
      <c r="F11">
        <f t="shared" si="1"/>
        <v>0.94876244200879822</v>
      </c>
      <c r="G11">
        <f t="shared" si="2"/>
        <v>0.94242260218470297</v>
      </c>
      <c r="H11">
        <f t="shared" si="3"/>
        <v>-1.0835757678978606</v>
      </c>
      <c r="I11" t="str">
        <f t="shared" si="4"/>
        <v>Failed</v>
      </c>
      <c r="J11">
        <f t="shared" si="5"/>
        <v>0.46758590331615779</v>
      </c>
      <c r="K11" t="str">
        <f t="shared" si="6"/>
        <v>Normal</v>
      </c>
    </row>
    <row r="12" spans="1:11" x14ac:dyDescent="0.25">
      <c r="H12" t="s">
        <v>13</v>
      </c>
      <c r="I12" cm="1">
        <f t="array" ref="I12">SUMPRODUCT(--($A$2:$A$11=I2:I11))/ROWS($A$2:$A$11)</f>
        <v>1</v>
      </c>
      <c r="K12" cm="1">
        <f t="array" ref="K12">SUMPRODUCT(--($A$2:$A$11=K2:K11))/ROWS($A$2:$A$11)</f>
        <v>0</v>
      </c>
    </row>
    <row r="13" spans="1:11" x14ac:dyDescent="0.25">
      <c r="A13" s="1" t="s">
        <v>14</v>
      </c>
      <c r="B13" s="1">
        <f>AVERAGE(B2:B11)</f>
        <v>24.03200822222411</v>
      </c>
      <c r="C13" s="1">
        <f>AVERAGE(C2:C11)</f>
        <v>2605.3261685842813</v>
      </c>
      <c r="D13" s="1">
        <f>AVERAGE(D2:D11)</f>
        <v>29.254164704878082</v>
      </c>
    </row>
    <row r="14" spans="1:11" x14ac:dyDescent="0.25">
      <c r="A14" s="1" t="s">
        <v>15</v>
      </c>
      <c r="B14" s="1">
        <f>_xlfn.STDEV.S(B2:B11)</f>
        <v>11.936867511223557</v>
      </c>
      <c r="C14" s="1">
        <f>_xlfn.STDEV.S(C2:C11)</f>
        <v>2245.7168310679504</v>
      </c>
      <c r="D14" s="1">
        <f>_xlfn.STDEV.S(D2:D11)</f>
        <v>28.020457247833448</v>
      </c>
    </row>
    <row r="16" spans="1:11" x14ac:dyDescent="0.25">
      <c r="A16" s="2" t="s">
        <v>16</v>
      </c>
      <c r="B16" s="2" t="s">
        <v>17</v>
      </c>
      <c r="C16" s="2" t="s">
        <v>18</v>
      </c>
      <c r="D16" s="2" t="s">
        <v>19</v>
      </c>
    </row>
    <row r="17" spans="1:4" x14ac:dyDescent="0.25">
      <c r="A17" s="2">
        <v>8</v>
      </c>
      <c r="B17" s="2">
        <v>2</v>
      </c>
      <c r="C17" s="2">
        <v>9</v>
      </c>
      <c r="D17" s="2">
        <v>8</v>
      </c>
    </row>
    <row r="19" spans="1:4" x14ac:dyDescent="0.25">
      <c r="A19" s="3" t="s">
        <v>20</v>
      </c>
      <c r="B19" s="3" t="s">
        <v>21</v>
      </c>
      <c r="C19" s="3" t="s">
        <v>22</v>
      </c>
      <c r="D19" s="3" t="s">
        <v>23</v>
      </c>
    </row>
    <row r="20" spans="1:4" x14ac:dyDescent="0.25">
      <c r="A20" s="3">
        <f>A17-C17-19</f>
        <v>-20</v>
      </c>
      <c r="B20" s="3">
        <f>A20/C20</f>
        <v>-0.37365231947148719</v>
      </c>
      <c r="C20" s="3">
        <f>SQRT((A20^2) + (A21^2) + (A22^2))</f>
        <v>53.525694764290542</v>
      </c>
      <c r="D20" s="3">
        <f>1/SQRT(2210+(A17)^2)</f>
        <v>2.0970306099501079E-2</v>
      </c>
    </row>
    <row r="21" spans="1:4" x14ac:dyDescent="0.25">
      <c r="A21" s="3">
        <f>A17*(-1)^B17</f>
        <v>8</v>
      </c>
      <c r="B21" s="3">
        <f>A21/C20</f>
        <v>0.14946092778859488</v>
      </c>
      <c r="C21" s="3"/>
      <c r="D21" s="3"/>
    </row>
    <row r="22" spans="1:4" x14ac:dyDescent="0.25">
      <c r="A22" s="3">
        <f>B17-D17-43</f>
        <v>-49</v>
      </c>
      <c r="B22" s="3">
        <f>A22/C20</f>
        <v>-0.91544818270514372</v>
      </c>
      <c r="C22" s="3"/>
      <c r="D22" s="3"/>
    </row>
    <row r="25" spans="1:4" x14ac:dyDescent="0.25">
      <c r="A25" s="4" t="s">
        <v>24</v>
      </c>
      <c r="B25" s="4" t="s">
        <v>25</v>
      </c>
      <c r="C25" s="4" t="s">
        <v>26</v>
      </c>
    </row>
    <row r="26" spans="1:4" x14ac:dyDescent="0.25">
      <c r="A26" s="3">
        <v>-2</v>
      </c>
      <c r="B26" s="3">
        <f>B17*10^-2</f>
        <v>0.02</v>
      </c>
      <c r="C26" s="3">
        <v>0</v>
      </c>
    </row>
    <row r="27" spans="1:4" x14ac:dyDescent="0.25">
      <c r="A27" s="3">
        <f>A17*(10)^-2</f>
        <v>0.08</v>
      </c>
      <c r="B27" s="3">
        <v>2</v>
      </c>
      <c r="C27" s="3">
        <f>D17*10^-2</f>
        <v>0.08</v>
      </c>
    </row>
    <row r="28" spans="1:4" x14ac:dyDescent="0.25">
      <c r="A28" s="3">
        <v>0</v>
      </c>
      <c r="B28" s="3">
        <f>C17*10^-2</f>
        <v>0.09</v>
      </c>
      <c r="C28" s="3">
        <v>-2</v>
      </c>
    </row>
    <row r="30" spans="1:4" x14ac:dyDescent="0.25">
      <c r="A30" s="3" t="s">
        <v>27</v>
      </c>
      <c r="B30" s="3" t="s">
        <v>28</v>
      </c>
      <c r="C30" s="3" t="s">
        <v>29</v>
      </c>
      <c r="D30" s="3" t="s">
        <v>30</v>
      </c>
    </row>
    <row r="31" spans="1:4" x14ac:dyDescent="0.25">
      <c r="A31" s="3">
        <f>(A26*A20) + (B26*A21) + (C26*A22)</f>
        <v>40.159999999999997</v>
      </c>
      <c r="B31" s="3">
        <f>A31/C31</f>
        <v>0.37501124242159889</v>
      </c>
      <c r="C31" s="3">
        <f>SQRT((A31^2)+(A32^2)+(A33^2))</f>
        <v>107.09012279384126</v>
      </c>
      <c r="D31" s="3">
        <f>D20-(A17+1)/10</f>
        <v>-0.8790296939004989</v>
      </c>
    </row>
    <row r="32" spans="1:4" x14ac:dyDescent="0.25">
      <c r="A32" s="3">
        <f>(A27*A20) + (B27*A21) + (C27*A22)</f>
        <v>10.48</v>
      </c>
      <c r="B32" s="3">
        <f>A32/C31</f>
        <v>9.7861499516393349E-2</v>
      </c>
      <c r="C32" s="3"/>
      <c r="D32" s="3"/>
    </row>
    <row r="33" spans="1:4" x14ac:dyDescent="0.25">
      <c r="A33" s="3">
        <f>(A28*A20) + (B28*A21) + (C28*A22)</f>
        <v>98.72</v>
      </c>
      <c r="B33" s="3">
        <f>A33/C31</f>
        <v>0.92184038475747621</v>
      </c>
      <c r="C33" s="3"/>
      <c r="D33" s="3"/>
    </row>
  </sheetData>
  <pageMargins left="0.7" right="0.7" top="0.75" bottom="0.75" header="0.3" footer="0.3"/>
  <pageSetup orientation="portrait" r:id="rId1"/>
  <ignoredErrors>
    <ignoredError sqref="J2:J11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1752C8B170D84E88FD9C270930D6B4" ma:contentTypeVersion="5" ma:contentTypeDescription="Create a new document." ma:contentTypeScope="" ma:versionID="ede9096fb6af0bb3d8c03ad7519980fa">
  <xsd:schema xmlns:xsd="http://www.w3.org/2001/XMLSchema" xmlns:xs="http://www.w3.org/2001/XMLSchema" xmlns:p="http://schemas.microsoft.com/office/2006/metadata/properties" xmlns:ns3="a9b1f3e2-ee82-42ad-9df8-f87923272e0a" targetNamespace="http://schemas.microsoft.com/office/2006/metadata/properties" ma:root="true" ma:fieldsID="b3d088842c3171197922172201614a24" ns3:_="">
    <xsd:import namespace="a9b1f3e2-ee82-42ad-9df8-f87923272e0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b1f3e2-ee82-42ad-9df8-f87923272e0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9b1f3e2-ee82-42ad-9df8-f87923272e0a" xsi:nil="true"/>
  </documentManagement>
</p:properties>
</file>

<file path=customXml/itemProps1.xml><?xml version="1.0" encoding="utf-8"?>
<ds:datastoreItem xmlns:ds="http://schemas.openxmlformats.org/officeDocument/2006/customXml" ds:itemID="{461ADF10-1D2C-4390-B332-45C0CFF74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b1f3e2-ee82-42ad-9df8-f87923272e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E31607E-CC3A-44AB-A9F8-E2FA72B6A4E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C342BCB-8F89-4475-91DA-1E267573AA44}">
  <ds:schemaRefs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purl.org/dc/dcmitype/"/>
    <ds:schemaRef ds:uri="http://schemas.openxmlformats.org/package/2006/metadata/core-properties"/>
    <ds:schemaRef ds:uri="a9b1f3e2-ee82-42ad-9df8-f87923272e0a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0438928_TempData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Zainab Hassan</dc:creator>
  <cp:keywords/>
  <dc:description/>
  <cp:lastModifiedBy>Sandeep Kaur</cp:lastModifiedBy>
  <cp:revision/>
  <dcterms:created xsi:type="dcterms:W3CDTF">2025-11-30T21:19:54Z</dcterms:created>
  <dcterms:modified xsi:type="dcterms:W3CDTF">2025-11-30T23:23:31Z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0x010100631752C8B170D84E88FD9C270930D6B4</vt:lpwstr>
  </property>
</Properties>
</file>