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bc7db30191f80/Desktop/MATHS1202 STATS/"/>
    </mc:Choice>
  </mc:AlternateContent>
  <xr:revisionPtr revIDLastSave="70" documentId="13_ncr:1_{BDFCC8DE-90D0-4046-A2BC-08884B49A31B}" xr6:coauthVersionLast="47" xr6:coauthVersionMax="47" xr10:uidLastSave="{7FA3F601-3C2C-4ADE-B540-853830364737}"/>
  <bookViews>
    <workbookView xWindow="-120" yWindow="-120" windowWidth="20730" windowHeight="11040" activeTab="2" xr2:uid="{C61BC20A-E8E9-455B-8B5D-78C5CB2CADB2}"/>
  </bookViews>
  <sheets>
    <sheet name="Question 1" sheetId="1" r:id="rId1"/>
    <sheet name="Question 2" sheetId="2" r:id="rId2"/>
    <sheet name="Question 3" sheetId="3" r:id="rId3"/>
    <sheet name="Question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B16" i="4"/>
  <c r="B14" i="4"/>
  <c r="B12" i="4"/>
  <c r="C24" i="3"/>
  <c r="C23" i="3"/>
  <c r="C22" i="3"/>
  <c r="C21" i="3"/>
  <c r="C18" i="3"/>
  <c r="C17" i="3"/>
  <c r="C14" i="3"/>
  <c r="C13" i="3"/>
  <c r="C12" i="3"/>
  <c r="C11" i="3"/>
  <c r="B25" i="2"/>
  <c r="B24" i="2"/>
  <c r="B8" i="2"/>
  <c r="B7" i="2"/>
  <c r="B23" i="2"/>
  <c r="B22" i="2"/>
  <c r="B14" i="2"/>
  <c r="B13" i="2"/>
  <c r="B12" i="2"/>
  <c r="B11" i="2"/>
  <c r="B10" i="2"/>
  <c r="B9" i="2"/>
  <c r="A106" i="1"/>
  <c r="A104" i="1"/>
  <c r="A105" i="1"/>
  <c r="A92" i="1"/>
  <c r="A91" i="1"/>
  <c r="A90" i="1"/>
  <c r="A74" i="1"/>
  <c r="A81" i="1"/>
  <c r="A80" i="1"/>
  <c r="A75" i="1"/>
  <c r="A37" i="1"/>
  <c r="A38" i="1"/>
  <c r="A39" i="1" s="1"/>
  <c r="A23" i="1"/>
  <c r="A22" i="1"/>
  <c r="A21" i="1"/>
  <c r="A7" i="1"/>
</calcChain>
</file>

<file path=xl/sharedStrings.xml><?xml version="1.0" encoding="utf-8"?>
<sst xmlns="http://schemas.openxmlformats.org/spreadsheetml/2006/main" count="62" uniqueCount="56">
  <si>
    <t>The critical value zα/2 for an 85% confidence interval</t>
  </si>
  <si>
    <t>Formula to find α</t>
  </si>
  <si>
    <t>Formula to find Confidence Level</t>
  </si>
  <si>
    <t>Formula to find α/2</t>
  </si>
  <si>
    <t xml:space="preserve">Round up </t>
  </si>
  <si>
    <t>Z value</t>
  </si>
  <si>
    <t>Sample Size</t>
  </si>
  <si>
    <t xml:space="preserve"> Margin of Error</t>
  </si>
  <si>
    <t xml:space="preserve">Standard Error </t>
  </si>
  <si>
    <t>Lower</t>
  </si>
  <si>
    <t>Upper</t>
  </si>
  <si>
    <t>Margin of Error</t>
  </si>
  <si>
    <t>Lower Confidence Limit</t>
  </si>
  <si>
    <t>Upper Confidence Limit</t>
  </si>
  <si>
    <t>Margin of Error (m)</t>
  </si>
  <si>
    <t>Lower Limit:</t>
  </si>
  <si>
    <t>Upper Limit:</t>
  </si>
  <si>
    <t>Total dissolved solids readings</t>
  </si>
  <si>
    <t>Sample stdev (s)</t>
  </si>
  <si>
    <t>Sample mean (x̄)</t>
  </si>
  <si>
    <t>Sample size (n)</t>
  </si>
  <si>
    <t>Degrees of freedom</t>
  </si>
  <si>
    <t>Critical t</t>
  </si>
  <si>
    <t>Margin of error m</t>
  </si>
  <si>
    <t>Lower limit</t>
  </si>
  <si>
    <t>Upper limit</t>
  </si>
  <si>
    <t>Formulas</t>
  </si>
  <si>
    <t>Description</t>
  </si>
  <si>
    <t xml:space="preserve">Mean </t>
  </si>
  <si>
    <t>Lower Limit</t>
  </si>
  <si>
    <t>Upper Limit</t>
  </si>
  <si>
    <t>TDS Readings</t>
  </si>
  <si>
    <t>Degrees of freedom (df)</t>
  </si>
  <si>
    <t>Sample variance (s^2)</t>
  </si>
  <si>
    <t>Chi-square (lower)</t>
  </si>
  <si>
    <t>Chi-square (upper)</t>
  </si>
  <si>
    <t>Lower variance limit</t>
  </si>
  <si>
    <t>Upper variance limit</t>
  </si>
  <si>
    <t>Lower σ</t>
  </si>
  <si>
    <t>Upper σ</t>
  </si>
  <si>
    <t>TesBlah car company</t>
  </si>
  <si>
    <t>Sample Size (n)</t>
  </si>
  <si>
    <t>Sample S.D(s)</t>
  </si>
  <si>
    <t>Significance Level(α)</t>
  </si>
  <si>
    <t>Claimed Mean(μ)</t>
  </si>
  <si>
    <t>H0: μ = 2</t>
  </si>
  <si>
    <t>Ha: μ &gt; 2</t>
  </si>
  <si>
    <t>Right-tailed test</t>
  </si>
  <si>
    <t>df (n - 1)</t>
  </si>
  <si>
    <t>Test statistic (t)</t>
  </si>
  <si>
    <t>t_critical (right-tailed)</t>
  </si>
  <si>
    <t>Decision Rule</t>
  </si>
  <si>
    <t>If t&gt;=t-critical</t>
  </si>
  <si>
    <t>If t&lt;t-critical</t>
  </si>
  <si>
    <t>Reject H0(T or F)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</si>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</sst>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4" xfId="0" applyFont="1" applyBorder="1"/>
    <xf numFmtId="0" fontId="3" fillId="0" borderId="0" xfId="0" applyFont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9526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724312-846B-B058-DEC4-76258698A3FE}"/>
            </a:ext>
          </a:extLst>
        </xdr:cNvPr>
        <xdr:cNvSpPr txBox="1"/>
      </xdr:nvSpPr>
      <xdr:spPr>
        <a:xfrm>
          <a:off x="0" y="0"/>
          <a:ext cx="3667126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(a) Find the critical value z</a:t>
          </a:r>
          <a:r>
            <a:rPr lang="el-GR" b="1"/>
            <a:t>α/2 </a:t>
          </a:r>
          <a:r>
            <a:rPr lang="en-US" b="1"/>
            <a:t>for an 85% confidence interval</a:t>
          </a:r>
        </a:p>
        <a:p>
          <a:r>
            <a:rPr lang="en-US" b="0"/>
            <a:t>Confidence level = 85%</a:t>
          </a:r>
          <a:br>
            <a:rPr lang="en-US"/>
          </a:br>
          <a:r>
            <a:rPr lang="el-GR"/>
            <a:t>α = 1 – 0.85 = </a:t>
          </a:r>
          <a:r>
            <a:rPr lang="el-GR" b="0"/>
            <a:t>0.15</a:t>
          </a:r>
          <a:br>
            <a:rPr lang="el-GR"/>
          </a:br>
          <a:r>
            <a:rPr lang="el-GR"/>
            <a:t>α/2 = </a:t>
          </a:r>
          <a:r>
            <a:rPr lang="el-GR" b="0"/>
            <a:t>0.075</a:t>
          </a:r>
        </a:p>
        <a:p>
          <a:r>
            <a:rPr lang="en-US"/>
            <a:t>We need z such that the area to the left is 1 – 0.075 = </a:t>
          </a:r>
          <a:r>
            <a:rPr lang="en-US" b="1"/>
            <a:t>0.925</a:t>
          </a:r>
          <a:r>
            <a:rPr lang="en-US"/>
            <a:t>.</a:t>
          </a: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9525</xdr:rowOff>
    </xdr:from>
    <xdr:to>
      <xdr:col>5</xdr:col>
      <xdr:colOff>600075</xdr:colOff>
      <xdr:row>19</xdr:row>
      <xdr:rowOff>180974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B047E3-DE29-162D-0242-216B17DD6E16}"/>
            </a:ext>
          </a:extLst>
        </xdr:cNvPr>
        <xdr:cNvSpPr txBox="1"/>
      </xdr:nvSpPr>
      <xdr:spPr>
        <a:xfrm>
          <a:off x="0" y="1533525"/>
          <a:ext cx="3648075" cy="2076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(b) What confidence level corresponds to a critical value of 2.576?</a:t>
          </a:r>
        </a:p>
        <a:p>
          <a:r>
            <a:rPr lang="en-US"/>
            <a:t>Given:</a:t>
          </a:r>
          <a:br>
            <a:rPr lang="en-US"/>
          </a:br>
          <a:r>
            <a:rPr lang="en-US" b="0"/>
            <a:t>z</a:t>
          </a:r>
          <a:r>
            <a:rPr lang="el-GR" b="0"/>
            <a:t>α/2 = 2.576</a:t>
          </a:r>
        </a:p>
        <a:p>
          <a:r>
            <a:rPr lang="en-US"/>
            <a:t>This z-value corresponds to the </a:t>
          </a:r>
          <a:r>
            <a:rPr lang="en-US" b="0"/>
            <a:t>99% confidence interval</a:t>
          </a:r>
          <a:r>
            <a:rPr lang="en-US"/>
            <a:t> because:</a:t>
          </a:r>
        </a:p>
        <a:p>
          <a:r>
            <a:rPr lang="en-US"/>
            <a:t>z at 99% CI = 2.576</a:t>
          </a:r>
        </a:p>
        <a:p>
          <a:r>
            <a:rPr lang="el-GR"/>
            <a:t>α/2 = 0.005 → α = 0.01</a:t>
          </a:r>
        </a:p>
        <a:p>
          <a:r>
            <a:rPr lang="en-US"/>
            <a:t>Confidence level = 1 − </a:t>
          </a:r>
          <a:r>
            <a:rPr lang="el-GR" b="0"/>
            <a:t>α = 0.99</a:t>
          </a:r>
        </a:p>
        <a:p>
          <a:r>
            <a:rPr lang="en-US" b="1"/>
            <a:t>A critical value of 2.576 corresponds to a 99% confidence interval.</a:t>
          </a:r>
          <a:endParaRPr lang="en-US"/>
        </a:p>
        <a:p>
          <a:endParaRPr lang="en-US" sz="1100"/>
        </a:p>
      </xdr:txBody>
    </xdr:sp>
    <xdr:clientData/>
  </xdr:twoCellAnchor>
  <xdr:twoCellAnchor>
    <xdr:from>
      <xdr:col>0</xdr:col>
      <xdr:colOff>28575</xdr:colOff>
      <xdr:row>24</xdr:row>
      <xdr:rowOff>9525</xdr:rowOff>
    </xdr:from>
    <xdr:to>
      <xdr:col>5</xdr:col>
      <xdr:colOff>600075</xdr:colOff>
      <xdr:row>35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7D41DA1-E5D6-EE73-5B2C-D9E0010E521C}"/>
                </a:ext>
              </a:extLst>
            </xdr:cNvPr>
            <xdr:cNvSpPr txBox="1"/>
          </xdr:nvSpPr>
          <xdr:spPr>
            <a:xfrm>
              <a:off x="28575" y="4581525"/>
              <a:ext cx="3619500" cy="2114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(c)A population has standard deviation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 = 9.2.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How large a sample must be drawn so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that a 90% confidence interval for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μ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will have a margin of error m=2.2?</a:t>
              </a:r>
            </a:p>
            <a:p>
              <a:endParaRPr lang="en-US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/>
                <a:t>Given:</a:t>
              </a:r>
            </a:p>
            <a:p>
              <a:r>
                <a:rPr lang="el-GR"/>
                <a:t>σ = 9.2</a:t>
              </a:r>
            </a:p>
            <a:p>
              <a:r>
                <a:rPr lang="en-US"/>
                <a:t>m = 2.2</a:t>
              </a:r>
            </a:p>
            <a:p>
              <a:r>
                <a:rPr lang="en-US"/>
                <a:t>90% CI → z</a:t>
              </a:r>
              <a:r>
                <a:rPr lang="el-GR"/>
                <a:t>α/2 = </a:t>
              </a:r>
              <a:r>
                <a:rPr lang="el-GR" b="0"/>
                <a:t>1.645</a:t>
              </a:r>
            </a:p>
            <a:p>
              <a:r>
                <a:rPr lang="en-US"/>
                <a:t>Formula: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</m:t>
                    </m:r>
                    <m:r>
                      <a:rPr lang="en-US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e>
                                  <m:sub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𝛼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/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𝜎</m:t>
                                </m:r>
                              </m:num>
                              <m:den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ar-AE"/>
            </a:p>
            <a:p>
              <a:endParaRPr lang="en-US" sz="11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7D41DA1-E5D6-EE73-5B2C-D9E0010E521C}"/>
                </a:ext>
              </a:extLst>
            </xdr:cNvPr>
            <xdr:cNvSpPr txBox="1"/>
          </xdr:nvSpPr>
          <xdr:spPr>
            <a:xfrm>
              <a:off x="28575" y="4581525"/>
              <a:ext cx="3619500" cy="21145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(c)A population has standard deviation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 = 9.2.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How large a sample must be drawn so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that a 90% confidence interval for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μ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will have a margin of error m=2.2?</a:t>
              </a:r>
            </a:p>
            <a:p>
              <a:endParaRPr lang="en-US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/>
                <a:t>Given:</a:t>
              </a:r>
            </a:p>
            <a:p>
              <a:r>
                <a:rPr lang="el-GR"/>
                <a:t>σ = 9.2</a:t>
              </a:r>
            </a:p>
            <a:p>
              <a:r>
                <a:rPr lang="en-US"/>
                <a:t>m = 2.2</a:t>
              </a:r>
            </a:p>
            <a:p>
              <a:r>
                <a:rPr lang="en-US"/>
                <a:t>90% CI → z</a:t>
              </a:r>
              <a:r>
                <a:rPr lang="el-GR"/>
                <a:t>α/2 = </a:t>
              </a:r>
              <a:r>
                <a:rPr lang="el-GR" b="0"/>
                <a:t>1.645</a:t>
              </a:r>
            </a:p>
            <a:p>
              <a:r>
                <a:rPr lang="en-US"/>
                <a:t>Formula:</a:t>
              </a:r>
            </a:p>
            <a:p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𝑛=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((𝑧_(𝛼/2) 𝜎)/𝑚)^2</a:t>
              </a:r>
              <a:endParaRPr lang="ar-AE"/>
            </a:p>
            <a:p>
              <a:endParaRPr lang="en-US" sz="1100" b="1"/>
            </a:p>
          </xdr:txBody>
        </xdr:sp>
      </mc:Fallback>
    </mc:AlternateContent>
    <xdr:clientData/>
  </xdr:twoCellAnchor>
  <xdr:twoCellAnchor>
    <xdr:from>
      <xdr:col>0</xdr:col>
      <xdr:colOff>19050</xdr:colOff>
      <xdr:row>41</xdr:row>
      <xdr:rowOff>9523</xdr:rowOff>
    </xdr:from>
    <xdr:to>
      <xdr:col>6</xdr:col>
      <xdr:colOff>9525</xdr:colOff>
      <xdr:row>73</xdr:row>
      <xdr:rowOff>9524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BACEC49-419E-E79D-C08B-A59BF515A4C5}"/>
                </a:ext>
              </a:extLst>
            </xdr:cNvPr>
            <xdr:cNvSpPr txBox="1"/>
          </xdr:nvSpPr>
          <xdr:spPr>
            <a:xfrm>
              <a:off x="19050" y="7820023"/>
              <a:ext cx="3829050" cy="60960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(d) The Red Rawhide Cricket (RRC) company manufactures cricket bats. Part of the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manufacturing process involves CNC milling wooden laminate blocks into a bat shape. In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 sample of 75 bats the mean time to complete the milling step was 50.1 minutes.Through the collection of data on several million bats produced RRC company has a population standard deviation of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10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minutes. Using the 5-Step procedure outlined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pages 364-367 of the text construct a 95% confidence interval for the CNC milling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step in the cricket bat manufacturing process. Show all your calculations in EXCEL using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textboxes or another appropriate form of presentation.</a:t>
              </a:r>
            </a:p>
            <a:p>
              <a:endPara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b="0"/>
                <a:t>Answer: 95% Confidence Interval for the Mean CNC Milling Time (</a:t>
              </a:r>
              <a:r>
                <a:rPr lang="el-GR" b="0"/>
                <a:t>σ </a:t>
              </a:r>
              <a:r>
                <a:rPr lang="en-US" b="0"/>
                <a:t>Known)</a:t>
              </a:r>
            </a:p>
            <a:p>
              <a:r>
                <a:rPr lang="en-US" b="0"/>
                <a:t>Given:</a:t>
              </a:r>
            </a:p>
            <a:p>
              <a:r>
                <a:rPr lang="en-US" b="0"/>
                <a:t>Sample size: n = 75</a:t>
              </a:r>
            </a:p>
            <a:p>
              <a:r>
                <a:rPr lang="en-US" b="0"/>
                <a:t>Sample mean: x̄ = 50.1 minutes</a:t>
              </a:r>
            </a:p>
            <a:p>
              <a:r>
                <a:rPr lang="en-US" b="0"/>
                <a:t>Population standard deviation: </a:t>
              </a:r>
              <a:r>
                <a:rPr lang="el-GR" b="0"/>
                <a:t>σ = 10 </a:t>
              </a:r>
              <a:r>
                <a:rPr lang="en-US" b="0"/>
                <a:t>minutes</a:t>
              </a:r>
            </a:p>
            <a:p>
              <a:r>
                <a:rPr lang="en-US" b="0"/>
                <a:t>Confidence level: 95% → z</a:t>
              </a:r>
              <a:r>
                <a:rPr lang="el-GR" b="0"/>
                <a:t>α/2 = 1.96</a:t>
              </a:r>
            </a:p>
            <a:p>
              <a:r>
                <a:rPr lang="en-US" b="1"/>
                <a:t> 1 – </a:t>
              </a:r>
              <a:r>
                <a:rPr lang="en-US" b="0"/>
                <a:t>State the Parameter</a:t>
              </a:r>
            </a:p>
            <a:p>
              <a:r>
                <a:rPr lang="el-GR"/>
                <a:t>μ = </a:t>
              </a:r>
              <a:r>
                <a:rPr lang="en-US"/>
                <a:t>the true mean CNC milling time (in minutes) for all cricket bats manufactured by the company.</a:t>
              </a:r>
            </a:p>
            <a:p>
              <a:r>
                <a:rPr lang="en-US" b="1"/>
                <a:t> 2 – </a:t>
              </a:r>
              <a:r>
                <a:rPr lang="en-US" b="0"/>
                <a:t>Check Assumptions</a:t>
              </a:r>
            </a:p>
            <a:p>
              <a:r>
                <a:rPr lang="en-US"/>
                <a:t>To use a </a:t>
              </a:r>
              <a:r>
                <a:rPr lang="en-US" b="1"/>
                <a:t>z-interval</a:t>
              </a:r>
              <a:r>
                <a:rPr lang="en-US"/>
                <a:t>, the following must be true:</a:t>
              </a:r>
            </a:p>
            <a:p>
              <a:r>
                <a:rPr lang="en-US"/>
                <a:t>The sample is random.</a:t>
              </a:r>
            </a:p>
            <a:p>
              <a:r>
                <a:rPr lang="en-US"/>
                <a:t>The population standard deviation </a:t>
              </a:r>
              <a:r>
                <a:rPr lang="el-GR"/>
                <a:t>σ </a:t>
              </a:r>
              <a:r>
                <a:rPr lang="en-US"/>
                <a:t>is known.</a:t>
              </a:r>
            </a:p>
            <a:p>
              <a:r>
                <a:rPr lang="en-US"/>
                <a:t>Large sample size (n = 75 ≥ 30), so the sampling distribution of the mean is approximately normal.</a:t>
              </a:r>
            </a:p>
            <a:p>
              <a:r>
                <a:rPr lang="en-US"/>
                <a:t>All conditions are satisfied.</a:t>
              </a:r>
            </a:p>
            <a:p>
              <a:r>
                <a:rPr lang="en-US" b="1"/>
                <a:t> 3 – </a:t>
              </a:r>
              <a:r>
                <a:rPr lang="en-US" b="0"/>
                <a:t>Compute Standard Error and Margin of Error</a:t>
              </a:r>
            </a:p>
            <a:p>
              <a:r>
                <a:rPr lang="en-US" b="0"/>
                <a:t>Standard Error (SE):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𝑆𝐸</m:t>
                    </m:r>
                    <m:r>
                      <a:rPr lang="en-US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75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ar-AE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BACEC49-419E-E79D-C08B-A59BF515A4C5}"/>
                </a:ext>
              </a:extLst>
            </xdr:cNvPr>
            <xdr:cNvSpPr txBox="1"/>
          </xdr:nvSpPr>
          <xdr:spPr>
            <a:xfrm>
              <a:off x="19050" y="7820023"/>
              <a:ext cx="3829050" cy="60960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(d) The Red Rawhide Cricket (RRC) company manufactures cricket bats. Part of the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manufacturing process involves CNC milling wooden laminate blocks into a bat shape. In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 sample of 75 bats the mean time to complete the milling step was 50.1 minutes.Through the collection of data on several million bats produced RRC company has a population standard deviation of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10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minutes. Using the 5-Step procedure outlined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pages 364-367 of the text construct a 95% confidence interval for the CNC milling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step in the cricket bat manufacturing process. Show all your calculations in EXCEL using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textboxes or another appropriate form of presentation.</a:t>
              </a:r>
            </a:p>
            <a:p>
              <a:endPara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b="0"/>
                <a:t>Answer: 95% Confidence Interval for the Mean CNC Milling Time (</a:t>
              </a:r>
              <a:r>
                <a:rPr lang="el-GR" b="0"/>
                <a:t>σ </a:t>
              </a:r>
              <a:r>
                <a:rPr lang="en-US" b="0"/>
                <a:t>Known)</a:t>
              </a:r>
            </a:p>
            <a:p>
              <a:r>
                <a:rPr lang="en-US" b="0"/>
                <a:t>Given:</a:t>
              </a:r>
            </a:p>
            <a:p>
              <a:r>
                <a:rPr lang="en-US" b="0"/>
                <a:t>Sample size: n = 75</a:t>
              </a:r>
            </a:p>
            <a:p>
              <a:r>
                <a:rPr lang="en-US" b="0"/>
                <a:t>Sample mean: x̄ = 50.1 minutes</a:t>
              </a:r>
            </a:p>
            <a:p>
              <a:r>
                <a:rPr lang="en-US" b="0"/>
                <a:t>Population standard deviation: </a:t>
              </a:r>
              <a:r>
                <a:rPr lang="el-GR" b="0"/>
                <a:t>σ = 10 </a:t>
              </a:r>
              <a:r>
                <a:rPr lang="en-US" b="0"/>
                <a:t>minutes</a:t>
              </a:r>
            </a:p>
            <a:p>
              <a:r>
                <a:rPr lang="en-US" b="0"/>
                <a:t>Confidence level: 95% → z</a:t>
              </a:r>
              <a:r>
                <a:rPr lang="el-GR" b="0"/>
                <a:t>α/2 = 1.96</a:t>
              </a:r>
            </a:p>
            <a:p>
              <a:r>
                <a:rPr lang="en-US" b="1"/>
                <a:t> 1 – </a:t>
              </a:r>
              <a:r>
                <a:rPr lang="en-US" b="0"/>
                <a:t>State the Parameter</a:t>
              </a:r>
            </a:p>
            <a:p>
              <a:r>
                <a:rPr lang="el-GR"/>
                <a:t>μ = </a:t>
              </a:r>
              <a:r>
                <a:rPr lang="en-US"/>
                <a:t>the true mean CNC milling time (in minutes) for all cricket bats manufactured by the company.</a:t>
              </a:r>
            </a:p>
            <a:p>
              <a:r>
                <a:rPr lang="en-US" b="1"/>
                <a:t> 2 – </a:t>
              </a:r>
              <a:r>
                <a:rPr lang="en-US" b="0"/>
                <a:t>Check Assumptions</a:t>
              </a:r>
            </a:p>
            <a:p>
              <a:r>
                <a:rPr lang="en-US"/>
                <a:t>To use a </a:t>
              </a:r>
              <a:r>
                <a:rPr lang="en-US" b="1"/>
                <a:t>z-interval</a:t>
              </a:r>
              <a:r>
                <a:rPr lang="en-US"/>
                <a:t>, the following must be true:</a:t>
              </a:r>
            </a:p>
            <a:p>
              <a:r>
                <a:rPr lang="en-US"/>
                <a:t>The sample is random.</a:t>
              </a:r>
            </a:p>
            <a:p>
              <a:r>
                <a:rPr lang="en-US"/>
                <a:t>The population standard deviation </a:t>
              </a:r>
              <a:r>
                <a:rPr lang="el-GR"/>
                <a:t>σ </a:t>
              </a:r>
              <a:r>
                <a:rPr lang="en-US"/>
                <a:t>is known.</a:t>
              </a:r>
            </a:p>
            <a:p>
              <a:r>
                <a:rPr lang="en-US"/>
                <a:t>Large sample size (n = 75 ≥ 30), so the sampling distribution of the mean is approximately normal.</a:t>
              </a:r>
            </a:p>
            <a:p>
              <a:r>
                <a:rPr lang="en-US"/>
                <a:t>All conditions are satisfied.</a:t>
              </a:r>
            </a:p>
            <a:p>
              <a:r>
                <a:rPr lang="en-US" b="1"/>
                <a:t> 3 – </a:t>
              </a:r>
              <a:r>
                <a:rPr lang="en-US" b="0"/>
                <a:t>Compute Standard Error and Margin of Error</a:t>
              </a:r>
            </a:p>
            <a:p>
              <a:r>
                <a:rPr lang="en-US" b="0"/>
                <a:t>Standard Error (SE):</a:t>
              </a:r>
            </a:p>
            <a:p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𝑆𝐸=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𝜎/√𝑛=10/√75</a:t>
              </a:r>
              <a:endParaRPr lang="ar-AE"/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0</xdr:col>
      <xdr:colOff>0</xdr:colOff>
      <xdr:row>74</xdr:row>
      <xdr:rowOff>171449</xdr:rowOff>
    </xdr:from>
    <xdr:to>
      <xdr:col>6</xdr:col>
      <xdr:colOff>9525</xdr:colOff>
      <xdr:row>78</xdr:row>
      <xdr:rowOff>180974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FAB8500-DA87-DC78-453C-7BEA5D8D7E03}"/>
                </a:ext>
              </a:extLst>
            </xdr:cNvPr>
            <xdr:cNvSpPr txBox="1"/>
          </xdr:nvSpPr>
          <xdr:spPr>
            <a:xfrm>
              <a:off x="0" y="14268449"/>
              <a:ext cx="3848100" cy="7715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b="1"/>
                <a:t>4 – </a:t>
              </a:r>
              <a:r>
                <a:rPr lang="en-US" b="0"/>
                <a:t>Construct the Confidence Interval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b="0"/>
                      <m:t>Lower</m:t>
                    </m:r>
                    <m:r>
                      <m:rPr>
                        <m:nor/>
                      </m:rPr>
                      <a:rPr lang="en-US" b="0" i="1"/>
                      <m:t> </m:t>
                    </m:r>
                    <m:r>
                      <m:rPr>
                        <m:nor/>
                      </m:rPr>
                      <a:rPr lang="en-US" b="0" i="1"/>
                      <m:t>Limit</m:t>
                    </m:r>
                    <m:r>
                      <a:rPr lang="en-US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limUpp>
                      <m:limUpp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limUppPr>
                      <m:e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lim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ˉ</m:t>
                        </m:r>
                      </m:lim>
                    </m:limUpp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ar-AE" sz="1100" b="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50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26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47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84</m:t>
                    </m:r>
                  </m:oMath>
                </m:oMathPara>
              </a14:m>
              <a:endParaRPr lang="ar-AE" b="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b="0"/>
                      <m:t>Upper</m:t>
                    </m:r>
                    <m:r>
                      <m:rPr>
                        <m:nor/>
                      </m:rPr>
                      <a:rPr lang="en-US" b="0" i="1"/>
                      <m:t> </m:t>
                    </m:r>
                    <m:r>
                      <m:rPr>
                        <m:nor/>
                      </m:rPr>
                      <a:rPr lang="en-US" b="0" i="1"/>
                      <m:t>Limit</m:t>
                    </m:r>
                    <m:r>
                      <a:rPr lang="en-US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limUpp>
                      <m:limUpp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limUppPr>
                      <m:e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lim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ˉ</m:t>
                        </m:r>
                      </m:lim>
                    </m:limUpp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ar-AE" sz="1100" b="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50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26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52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36</m:t>
                    </m:r>
                  </m:oMath>
                </m:oMathPara>
              </a14:m>
              <a:endParaRPr lang="ar-AE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FAB8500-DA87-DC78-453C-7BEA5D8D7E03}"/>
                </a:ext>
              </a:extLst>
            </xdr:cNvPr>
            <xdr:cNvSpPr txBox="1"/>
          </xdr:nvSpPr>
          <xdr:spPr>
            <a:xfrm>
              <a:off x="0" y="14268449"/>
              <a:ext cx="3848100" cy="7715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b="1"/>
                <a:t>4 – </a:t>
              </a:r>
              <a:r>
                <a:rPr lang="en-US" b="0"/>
                <a:t>Construct the Confidence Interval</a:t>
              </a:r>
            </a:p>
            <a:p>
              <a:r>
                <a:rPr lang="en-US" b="0" i="0">
                  <a:latin typeface="Cambria Math" panose="02040503050406030204" pitchFamily="18" charset="0"/>
                </a:rPr>
                <a:t>"Lower Limit</a:t>
              </a:r>
              <a:r>
                <a:rPr 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𝑥┴ˉ−𝑚=50.1−2.26=47.84</a:t>
              </a:r>
              <a:endParaRPr lang="ar-AE" b="0"/>
            </a:p>
            <a:p>
              <a:r>
                <a:rPr lang="en-US" b="0" i="0">
                  <a:latin typeface="Cambria Math" panose="02040503050406030204" pitchFamily="18" charset="0"/>
                </a:rPr>
                <a:t>"Upper Limit</a:t>
              </a:r>
              <a:r>
                <a:rPr 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𝑥┴ˉ+𝑚=50.1+2.26=52.36</a:t>
              </a:r>
              <a:endParaRPr lang="ar-AE" b="0"/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0</xdr:col>
      <xdr:colOff>28575</xdr:colOff>
      <xdr:row>81</xdr:row>
      <xdr:rowOff>47625</xdr:rowOff>
    </xdr:from>
    <xdr:to>
      <xdr:col>6</xdr:col>
      <xdr:colOff>19050</xdr:colOff>
      <xdr:row>88</xdr:row>
      <xdr:rowOff>180975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DFD50A-66A2-EA96-5EF6-D3C17B56D557}"/>
                </a:ext>
              </a:extLst>
            </xdr:cNvPr>
            <xdr:cNvSpPr txBox="1"/>
          </xdr:nvSpPr>
          <xdr:spPr>
            <a:xfrm>
              <a:off x="28575" y="15478125"/>
              <a:ext cx="3829050" cy="1466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b="1"/>
                <a:t>5 – </a:t>
              </a:r>
              <a:r>
                <a:rPr lang="en-US" b="0"/>
                <a:t>Final Confidence Interval &amp; Interpretation</a:t>
              </a:r>
            </a:p>
            <a:p>
              <a:r>
                <a:rPr lang="en-US" b="0"/>
                <a:t>Final 95% Confidence Interval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orderBox>
                      <m:borderBox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orderBoxPr>
                      <m:e>
                        <m:d>
                          <m:dPr>
                            <m:sepChr m:val=",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47</m:t>
                            </m:r>
                            <m:r>
                              <a:rPr lang="ar-AE" sz="110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ar-AE" sz="110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84</m:t>
                            </m:r>
                          </m:e>
                          <m:e>
                            <m:r>
                              <m:rPr>
                                <m:nor/>
                              </m:r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  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52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36</m:t>
                            </m:r>
                          </m:e>
                        </m:d>
                        <m:r>
                          <m:rPr>
                            <m:nor/>
                          </m:r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minutes</m:t>
                        </m:r>
                      </m:e>
                    </m:borderBox>
                  </m:oMath>
                </m:oMathPara>
              </a14:m>
              <a:endParaRPr lang="ar-AE" b="0"/>
            </a:p>
            <a:p>
              <a:r>
                <a:rPr lang="en-US" b="1"/>
                <a:t>Interpretation</a:t>
              </a:r>
            </a:p>
            <a:p>
              <a:r>
                <a:rPr lang="en-US"/>
                <a:t>We are 95% confident that the true average CNC milling time for all bats lies between </a:t>
              </a:r>
              <a:r>
                <a:rPr lang="en-US" b="0"/>
                <a:t>47.84 minutes and 52.36 minutes.</a:t>
              </a:r>
            </a:p>
            <a:p>
              <a:r>
                <a:rPr lang="en-US"/>
                <a:t>This means if we repeatedly sampled 75 bats and built intervals, about 95% of them would contain the true mean.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DFD50A-66A2-EA96-5EF6-D3C17B56D557}"/>
                </a:ext>
              </a:extLst>
            </xdr:cNvPr>
            <xdr:cNvSpPr txBox="1"/>
          </xdr:nvSpPr>
          <xdr:spPr>
            <a:xfrm>
              <a:off x="28575" y="15478125"/>
              <a:ext cx="3829050" cy="1466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b="1"/>
                <a:t>5 – </a:t>
              </a:r>
              <a:r>
                <a:rPr lang="en-US" b="0"/>
                <a:t>Final Confidence Interval &amp; Interpretation</a:t>
              </a:r>
            </a:p>
            <a:p>
              <a:r>
                <a:rPr lang="en-US" b="0"/>
                <a:t>Final 95% Confidence Interval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▭((47.84ⓜ,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 " 52.36)" </a:t>
              </a:r>
              <a:r>
                <a:rPr lang="en-US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minutes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)</a:t>
              </a:r>
              <a:endParaRPr lang="ar-AE" b="0"/>
            </a:p>
            <a:p>
              <a:r>
                <a:rPr lang="en-US" b="1"/>
                <a:t>Interpretation</a:t>
              </a:r>
            </a:p>
            <a:p>
              <a:r>
                <a:rPr lang="en-US"/>
                <a:t>We are 95% confident that the true average CNC milling time for all bats lies between </a:t>
              </a:r>
              <a:r>
                <a:rPr lang="en-US" b="0"/>
                <a:t>47.84 minutes and 52.36 minutes.</a:t>
              </a:r>
            </a:p>
            <a:p>
              <a:r>
                <a:rPr lang="en-US"/>
                <a:t>This means if we repeatedly sampled 75 bats and built intervals, about 95% of them would contain the true mean.</a:t>
              </a:r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0</xdr:col>
      <xdr:colOff>9525</xdr:colOff>
      <xdr:row>92</xdr:row>
      <xdr:rowOff>190499</xdr:rowOff>
    </xdr:from>
    <xdr:to>
      <xdr:col>5</xdr:col>
      <xdr:colOff>600075</xdr:colOff>
      <xdr:row>102</xdr:row>
      <xdr:rowOff>180974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40146E-AA20-91DC-AA33-A0D10EC33D45}"/>
            </a:ext>
          </a:extLst>
        </xdr:cNvPr>
        <xdr:cNvSpPr txBox="1"/>
      </xdr:nvSpPr>
      <xdr:spPr>
        <a:xfrm>
          <a:off x="9525" y="17716499"/>
          <a:ext cx="3819525" cy="189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(e) Using the CONFIDENCE.NORM() command in EXCEL and the 4-step procedure outlined on Page 372 of the text compute the margin of error, m, for the question in part (d), and display the confidence interval obtained</a:t>
          </a: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Answer:</a:t>
          </a:r>
          <a:r>
            <a:rPr lang="en-US" b="0"/>
            <a:t>We use the same data as in part (d):</a:t>
          </a:r>
        </a:p>
        <a:p>
          <a:r>
            <a:rPr lang="en-US" b="0"/>
            <a:t>Sample mean: x̄ = 50.1</a:t>
          </a:r>
        </a:p>
        <a:p>
          <a:r>
            <a:rPr lang="en-US" b="0"/>
            <a:t>Population standard deviation: </a:t>
          </a:r>
          <a:r>
            <a:rPr lang="el-GR" b="0"/>
            <a:t>σ = 10</a:t>
          </a:r>
        </a:p>
        <a:p>
          <a:r>
            <a:rPr lang="en-US" b="0"/>
            <a:t>Sample size: n = 75</a:t>
          </a:r>
        </a:p>
        <a:p>
          <a:r>
            <a:rPr lang="en-US" b="0"/>
            <a:t>Confidence level: 95% → </a:t>
          </a:r>
          <a:r>
            <a:rPr lang="el-GR" b="0"/>
            <a:t>α = 0.05</a:t>
          </a:r>
        </a:p>
        <a:p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0</xdr:rowOff>
    </xdr:from>
    <xdr:to>
      <xdr:col>5</xdr:col>
      <xdr:colOff>9525</xdr:colOff>
      <xdr:row>4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9EACA6-E965-32D9-AC11-8250F00273FA}"/>
            </a:ext>
          </a:extLst>
        </xdr:cNvPr>
        <xdr:cNvSpPr txBox="1"/>
      </xdr:nvSpPr>
      <xdr:spPr>
        <a:xfrm>
          <a:off x="2152650" y="0"/>
          <a:ext cx="241935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0"/>
            <a:t>My student number ends in A = 8, so each value in the dataset becomes:</a:t>
          </a:r>
        </a:p>
        <a:p>
          <a:r>
            <a:rPr lang="en-US" b="0"/>
            <a:t>Original value + 8</a:t>
          </a:r>
          <a:br>
            <a:rPr lang="en-US" b="0"/>
          </a:br>
          <a:r>
            <a:rPr lang="en-US" b="0"/>
            <a:t>Example: 123 + 8 = 131 and so on.</a:t>
          </a:r>
        </a:p>
        <a:p>
          <a:endParaRPr lang="en-US" sz="1100"/>
        </a:p>
      </xdr:txBody>
    </xdr:sp>
    <xdr:clientData/>
  </xdr:twoCellAnchor>
  <xdr:twoCellAnchor>
    <xdr:from>
      <xdr:col>3</xdr:col>
      <xdr:colOff>95249</xdr:colOff>
      <xdr:row>5</xdr:row>
      <xdr:rowOff>0</xdr:rowOff>
    </xdr:from>
    <xdr:to>
      <xdr:col>7</xdr:col>
      <xdr:colOff>600075</xdr:colOff>
      <xdr:row>14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E2A574-C871-7C62-40C6-84C1DEA8562D}"/>
            </a:ext>
          </a:extLst>
        </xdr:cNvPr>
        <xdr:cNvSpPr txBox="1"/>
      </xdr:nvSpPr>
      <xdr:spPr>
        <a:xfrm>
          <a:off x="4457699" y="962025"/>
          <a:ext cx="3086101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0"/>
            <a:t>Numerically:</a:t>
          </a:r>
        </a:p>
        <a:p>
          <a:r>
            <a:rPr lang="en-US" b="0"/>
            <a:t>Lower ≈ 128.71</a:t>
          </a:r>
        </a:p>
        <a:p>
          <a:r>
            <a:rPr lang="en-US" b="0"/>
            <a:t>Upper ≈ 131.29</a:t>
          </a:r>
        </a:p>
        <a:p>
          <a:r>
            <a:rPr lang="en-US" b="0"/>
            <a:t> Final Answer for (a)</a:t>
          </a:r>
        </a:p>
        <a:p>
          <a:r>
            <a:rPr lang="en-US" b="0"/>
            <a:t>95% Confidence Interval for </a:t>
          </a:r>
          <a:r>
            <a:rPr lang="el-GR" b="0"/>
            <a:t>μ: (128.71 , 131.29)</a:t>
          </a:r>
        </a:p>
        <a:p>
          <a:r>
            <a:rPr lang="en-US" b="0"/>
            <a:t>Interpretation:</a:t>
          </a:r>
          <a:br>
            <a:rPr lang="en-US" b="0"/>
          </a:br>
          <a:r>
            <a:rPr lang="en-US" b="0"/>
            <a:t>We are 95% confident that the true mean TDS level for the city’s tap water lies between 128.71 and 131.29.</a:t>
          </a:r>
        </a:p>
        <a:p>
          <a:endParaRPr lang="en-US" sz="1100" b="0"/>
        </a:p>
      </xdr:txBody>
    </xdr:sp>
    <xdr:clientData/>
  </xdr:twoCellAnchor>
  <xdr:twoCellAnchor>
    <xdr:from>
      <xdr:col>1</xdr:col>
      <xdr:colOff>66675</xdr:colOff>
      <xdr:row>15</xdr:row>
      <xdr:rowOff>114300</xdr:rowOff>
    </xdr:from>
    <xdr:to>
      <xdr:col>4</xdr:col>
      <xdr:colOff>504825</xdr:colOff>
      <xdr:row>19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12E058-35A7-E83D-3F55-11AB7A6680AF}"/>
            </a:ext>
          </a:extLst>
        </xdr:cNvPr>
        <xdr:cNvSpPr txBox="1"/>
      </xdr:nvSpPr>
      <xdr:spPr>
        <a:xfrm>
          <a:off x="2466975" y="2981325"/>
          <a:ext cx="315277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(b).  Using the CONFIDENCE.T() function in EXCEL compute the margin of error for part (a).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(Consult page 383 in the text.)</a:t>
          </a:r>
          <a:endParaRPr lang="en-US" sz="1100"/>
        </a:p>
      </xdr:txBody>
    </xdr:sp>
    <xdr:clientData/>
  </xdr:twoCellAnchor>
  <xdr:twoCellAnchor>
    <xdr:from>
      <xdr:col>3</xdr:col>
      <xdr:colOff>219075</xdr:colOff>
      <xdr:row>20</xdr:row>
      <xdr:rowOff>180975</xdr:rowOff>
    </xdr:from>
    <xdr:to>
      <xdr:col>7</xdr:col>
      <xdr:colOff>600075</xdr:colOff>
      <xdr:row>24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12B437-165A-95E4-EBB5-7E2E1954DC49}"/>
            </a:ext>
          </a:extLst>
        </xdr:cNvPr>
        <xdr:cNvSpPr txBox="1"/>
      </xdr:nvSpPr>
      <xdr:spPr>
        <a:xfrm>
          <a:off x="4581525" y="4000500"/>
          <a:ext cx="29622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Using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CONFIDENCE.T()</a:t>
          </a:r>
          <a:r>
            <a:rPr lang="en-US"/>
            <a:t>, the margin of error is approximately </a:t>
          </a:r>
          <a:r>
            <a:rPr lang="en-US" b="1"/>
            <a:t>1.29</a:t>
          </a:r>
          <a:r>
            <a:rPr lang="en-US"/>
            <a:t>, giving the same 95% confidence interval </a:t>
          </a:r>
          <a:r>
            <a:rPr lang="en-US" b="1"/>
            <a:t>(128.71, 131.29)</a:t>
          </a:r>
          <a:r>
            <a:rPr lang="en-US"/>
            <a:t> for the mean TDS level.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0</xdr:rowOff>
    </xdr:from>
    <xdr:to>
      <xdr:col>7</xdr:col>
      <xdr:colOff>19051</xdr:colOff>
      <xdr:row>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505394-541B-4DFE-AC3D-D3C2EE4B1320}"/>
            </a:ext>
          </a:extLst>
        </xdr:cNvPr>
        <xdr:cNvSpPr txBox="1"/>
      </xdr:nvSpPr>
      <xdr:spPr>
        <a:xfrm>
          <a:off x="1457325" y="0"/>
          <a:ext cx="3076576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STEP 1 – State the Parameter</a:t>
          </a:r>
        </a:p>
        <a:p>
          <a:r>
            <a:rPr lang="en-US"/>
            <a:t>We want to estimate the </a:t>
          </a:r>
          <a:r>
            <a:rPr lang="en-US" b="0"/>
            <a:t>true population standard deviation </a:t>
          </a:r>
          <a:r>
            <a:rPr lang="el-GR" b="0"/>
            <a:t>σ</a:t>
          </a:r>
          <a:r>
            <a:rPr lang="el-GR"/>
            <a:t> </a:t>
          </a:r>
          <a:r>
            <a:rPr lang="en-US"/>
            <a:t>for TDS levels in the city’s water supply.</a:t>
          </a:r>
        </a:p>
        <a:p>
          <a:r>
            <a:rPr lang="en-US" b="1"/>
            <a:t>STEP 2 – Check Assumptions</a:t>
          </a:r>
        </a:p>
        <a:p>
          <a:r>
            <a:rPr lang="en-US"/>
            <a:t>A </a:t>
          </a:r>
          <a:r>
            <a:rPr lang="el-GR"/>
            <a:t>χ² (</a:t>
          </a:r>
          <a:r>
            <a:rPr lang="en-US"/>
            <a:t>chi-square) interval requires:</a:t>
          </a:r>
        </a:p>
        <a:p>
          <a:r>
            <a:rPr lang="en-US"/>
            <a:t>Data is a </a:t>
          </a:r>
          <a:r>
            <a:rPr lang="en-US" b="0"/>
            <a:t>simple random sample</a:t>
          </a:r>
        </a:p>
        <a:p>
          <a:r>
            <a:rPr lang="en-US"/>
            <a:t>The population is </a:t>
          </a:r>
          <a:r>
            <a:rPr lang="en-US" b="0"/>
            <a:t>normally distributed </a:t>
          </a:r>
        </a:p>
        <a:p>
          <a:r>
            <a:rPr lang="en-US"/>
            <a:t>These conditions are satisfied.</a:t>
          </a:r>
        </a:p>
        <a:p>
          <a:r>
            <a:rPr lang="en-US" b="1"/>
            <a:t>STEP 3 – Compute Sample Statistics Using Excel</a:t>
          </a:r>
        </a:p>
        <a:p>
          <a:endParaRPr lang="en-US" sz="1100"/>
        </a:p>
      </xdr:txBody>
    </xdr:sp>
    <xdr:clientData/>
  </xdr:twoCellAnchor>
  <xdr:twoCellAnchor>
    <xdr:from>
      <xdr:col>2</xdr:col>
      <xdr:colOff>0</xdr:colOff>
      <xdr:row>14</xdr:row>
      <xdr:rowOff>66675</xdr:rowOff>
    </xdr:from>
    <xdr:to>
      <xdr:col>7</xdr:col>
      <xdr:colOff>9525</xdr:colOff>
      <xdr:row>15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B1B92F-B45E-F822-EEB1-E2FB32CD6F9E}"/>
            </a:ext>
          </a:extLst>
        </xdr:cNvPr>
        <xdr:cNvSpPr txBox="1"/>
      </xdr:nvSpPr>
      <xdr:spPr>
        <a:xfrm>
          <a:off x="1466850" y="2752725"/>
          <a:ext cx="30575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STEP 4 – Critical Chi-Square Values</a:t>
          </a:r>
        </a:p>
      </xdr:txBody>
    </xdr:sp>
    <xdr:clientData/>
  </xdr:twoCellAnchor>
  <xdr:twoCellAnchor>
    <xdr:from>
      <xdr:col>1</xdr:col>
      <xdr:colOff>600076</xdr:colOff>
      <xdr:row>18</xdr:row>
      <xdr:rowOff>104775</xdr:rowOff>
    </xdr:from>
    <xdr:to>
      <xdr:col>7</xdr:col>
      <xdr:colOff>28576</xdr:colOff>
      <xdr:row>19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66CA6A-45A0-B211-D563-C7ABDB1B8AE0}"/>
            </a:ext>
          </a:extLst>
        </xdr:cNvPr>
        <xdr:cNvSpPr txBox="1"/>
      </xdr:nvSpPr>
      <xdr:spPr>
        <a:xfrm>
          <a:off x="1457326" y="3571875"/>
          <a:ext cx="30861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STEP 5 – Construct the Confidence Interval</a:t>
          </a:r>
          <a:endParaRPr lang="en-US" sz="1100" b="1"/>
        </a:p>
      </xdr:txBody>
    </xdr:sp>
    <xdr:clientData/>
  </xdr:twoCellAnchor>
  <xdr:twoCellAnchor>
    <xdr:from>
      <xdr:col>1</xdr:col>
      <xdr:colOff>600074</xdr:colOff>
      <xdr:row>24</xdr:row>
      <xdr:rowOff>95250</xdr:rowOff>
    </xdr:from>
    <xdr:to>
      <xdr:col>6</xdr:col>
      <xdr:colOff>581025</xdr:colOff>
      <xdr:row>29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4C2180-7200-76AA-FF24-3CC3BB17DB36}"/>
            </a:ext>
          </a:extLst>
        </xdr:cNvPr>
        <xdr:cNvSpPr txBox="1"/>
      </xdr:nvSpPr>
      <xdr:spPr>
        <a:xfrm>
          <a:off x="1457324" y="4724400"/>
          <a:ext cx="3028951" cy="93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Interpretation:</a:t>
          </a:r>
          <a:br>
            <a:rPr lang="en-US"/>
          </a:br>
          <a:r>
            <a:rPr lang="en-US"/>
            <a:t>We are 95% confident that the true population standard deviation of TDS levels lies between </a:t>
          </a:r>
          <a:r>
            <a:rPr lang="en-US" b="1"/>
            <a:t>2.18 and 5.78 units</a:t>
          </a:r>
          <a:r>
            <a:rPr lang="en-US"/>
            <a:t>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CB87C5D9-6F6D-5DC8-D231-7B9F1D6E9E4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6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3</xdr:row>
      <xdr:rowOff>76199</xdr:rowOff>
    </xdr:from>
    <xdr:to>
      <xdr:col>11</xdr:col>
      <xdr:colOff>504825</xdr:colOff>
      <xdr:row>31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7850AB1-ABF4-BBD1-0053-A7D60B1B01F3}"/>
                </a:ext>
              </a:extLst>
            </xdr:cNvPr>
            <xdr:cNvSpPr txBox="1"/>
          </xdr:nvSpPr>
          <xdr:spPr>
            <a:xfrm>
              <a:off x="3276600" y="704849"/>
              <a:ext cx="5381625" cy="52959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b="1"/>
                <a:t>Step 1</a:t>
              </a:r>
            </a:p>
            <a:p>
              <a:r>
                <a:rPr lang="en-US"/>
                <a:t>The company claims that the F-minus model catches fire fewer than two times a year. To check this, I set up my hypotheses as:</a:t>
              </a:r>
            </a:p>
            <a:p>
              <a:r>
                <a:rPr lang="en-US" b="1"/>
                <a:t>H₀:</a:t>
              </a:r>
              <a:r>
                <a:rPr lang="en-US"/>
                <a:t> </a:t>
              </a:r>
              <a:r>
                <a:rPr lang="el-GR"/>
                <a:t>μ = 2</a:t>
              </a:r>
            </a:p>
            <a:p>
              <a:r>
                <a:rPr lang="en-US" b="1"/>
                <a:t>H₁:</a:t>
              </a:r>
              <a:r>
                <a:rPr lang="en-US"/>
                <a:t> </a:t>
              </a:r>
              <a:r>
                <a:rPr lang="el-GR"/>
                <a:t>μ &gt; 2</a:t>
              </a:r>
            </a:p>
            <a:p>
              <a:r>
                <a:rPr lang="en-US"/>
                <a:t>I am testing whether the actual mean is </a:t>
              </a:r>
              <a:r>
                <a:rPr lang="en-US" b="0"/>
                <a:t>higher than 2, so this becomes a right-tailed test</a:t>
              </a:r>
              <a:r>
                <a:rPr lang="en-US"/>
                <a:t>.</a:t>
              </a:r>
            </a:p>
            <a:p>
              <a:r>
                <a:rPr lang="en-US" b="1"/>
                <a:t>Step 2</a:t>
              </a:r>
            </a:p>
            <a:p>
              <a:r>
                <a:rPr lang="en-US"/>
                <a:t>Since the sample size is reasonably large (n = 66) and I do not know the population standard deviation, the correct procedure is to use a </a:t>
              </a:r>
              <a:r>
                <a:rPr lang="en-US" b="0"/>
                <a:t>one-sample t-test with df = 65</a:t>
              </a:r>
              <a:r>
                <a:rPr lang="en-US"/>
                <a:t>.</a:t>
              </a:r>
            </a:p>
            <a:p>
              <a:r>
                <a:rPr lang="en-US" b="1"/>
                <a:t>Step 3</a:t>
              </a:r>
            </a:p>
            <a:p>
              <a:r>
                <a:rPr lang="en-US"/>
                <a:t>To find the test statistic, I used the formula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limUpp>
                          <m:limUp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limUp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lim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ˉ</m:t>
                            </m:r>
                          </m:lim>
                        </m:limUp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ad>
                          <m:radPr>
                            <m:degHide m:val="on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ar-AE"/>
            </a:p>
            <a:p>
              <a:r>
                <a:rPr lang="en-US"/>
                <a:t>where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limUpp>
                      <m:limUp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limUp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li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ˉ</m:t>
                        </m:r>
                      </m:lim>
                    </m:limUpp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</m:oMath>
                </m:oMathPara>
              </a14:m>
              <a:endParaRPr lang="ar-AE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</m:oMath>
                </m:oMathPara>
              </a14:m>
              <a:endParaRPr lang="ar-AE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</m:oMath>
                </m:oMathPara>
              </a14:m>
              <a:endParaRPr lang="ar-AE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ar-AE" sz="11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66</m:t>
                    </m:r>
                  </m:oMath>
                </m:oMathPara>
              </a14:m>
              <a:endParaRPr lang="ar-AE"/>
            </a:p>
            <a:p>
              <a:r>
                <a:rPr lang="en-US"/>
                <a:t>Plugging these values into the formula gives the t-value for the test.</a:t>
              </a:r>
            </a:p>
            <a:p>
              <a:r>
                <a:rPr lang="en-US" b="1"/>
                <a:t>Step 4</a:t>
              </a:r>
            </a:p>
            <a:p>
              <a:r>
                <a:rPr lang="en-US"/>
                <a:t>To determine the rejection region, I used Excel’s function </a:t>
              </a:r>
              <a:r>
                <a:rPr lang="en-US" b="0"/>
                <a:t>T.INV(1 − </a:t>
              </a:r>
              <a:r>
                <a:rPr lang="el-GR" b="0"/>
                <a:t>α, </a:t>
              </a:r>
              <a:r>
                <a:rPr lang="en-US" b="0"/>
                <a:t>df) </a:t>
              </a:r>
              <a:r>
                <a:rPr lang="en-US"/>
                <a:t>with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𝛼</m:t>
                  </m:r>
                  <m:r>
                    <a:rPr lang="en-US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0</m:t>
                  </m:r>
                  <m:r>
                    <a:rPr lang="en-US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n-US" sz="11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05</m:t>
                  </m:r>
                </m:oMath>
              </a14:m>
              <a:r>
                <a:rPr lang="en-US"/>
                <a:t>.</a:t>
              </a:r>
              <a:br>
                <a:rPr lang="en-US"/>
              </a:br>
              <a:r>
                <a:rPr lang="en-US"/>
                <a:t>This gives the </a:t>
              </a:r>
              <a:r>
                <a:rPr lang="en-US" b="0"/>
                <a:t>critical t-value </a:t>
              </a:r>
              <a:r>
                <a:rPr lang="en-US"/>
                <a:t>for a right-tailed test.</a:t>
              </a:r>
              <a:br>
                <a:rPr lang="en-US"/>
              </a:br>
              <a:r>
                <a:rPr lang="en-US"/>
                <a:t>Then I compared my calculated t-statistic with this critical value to decide whether or not to reject the null hypothesis.</a:t>
              </a:r>
            </a:p>
            <a:p>
              <a:r>
                <a:rPr lang="en-US" b="1"/>
                <a:t>Step 5</a:t>
              </a:r>
            </a:p>
            <a:p>
              <a:r>
                <a:rPr lang="en-US"/>
                <a:t>After comparing the two values, I made a conclusion about the company’s claim.</a:t>
              </a:r>
              <a:br>
                <a:rPr lang="en-US"/>
              </a:br>
              <a:r>
                <a:rPr lang="en-US"/>
                <a:t>If the test statistic exceeds the critical value, that means there is enough evidence at the 5% significance level to say the true average number of fires is </a:t>
              </a:r>
              <a:r>
                <a:rPr lang="en-US" b="1"/>
                <a:t>greater than 2</a:t>
              </a:r>
              <a:r>
                <a:rPr lang="en-US"/>
                <a:t>, suggesting that the company’s “fewer than two fires per year” claim is not supported by the data.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7850AB1-ABF4-BBD1-0053-A7D60B1B01F3}"/>
                </a:ext>
              </a:extLst>
            </xdr:cNvPr>
            <xdr:cNvSpPr txBox="1"/>
          </xdr:nvSpPr>
          <xdr:spPr>
            <a:xfrm>
              <a:off x="3276600" y="704849"/>
              <a:ext cx="5381625" cy="52959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b="1"/>
                <a:t>Step 1</a:t>
              </a:r>
            </a:p>
            <a:p>
              <a:r>
                <a:rPr lang="en-US"/>
                <a:t>The company claims that the F-minus model catches fire fewer than two times a year. To check this, I set up my hypotheses as:</a:t>
              </a:r>
            </a:p>
            <a:p>
              <a:r>
                <a:rPr lang="en-US" b="1"/>
                <a:t>H₀:</a:t>
              </a:r>
              <a:r>
                <a:rPr lang="en-US"/>
                <a:t> </a:t>
              </a:r>
              <a:r>
                <a:rPr lang="el-GR"/>
                <a:t>μ = 2</a:t>
              </a:r>
            </a:p>
            <a:p>
              <a:r>
                <a:rPr lang="en-US" b="1"/>
                <a:t>H₁:</a:t>
              </a:r>
              <a:r>
                <a:rPr lang="en-US"/>
                <a:t> </a:t>
              </a:r>
              <a:r>
                <a:rPr lang="el-GR"/>
                <a:t>μ &gt; 2</a:t>
              </a:r>
            </a:p>
            <a:p>
              <a:r>
                <a:rPr lang="en-US"/>
                <a:t>I am testing whether the actual mean is </a:t>
              </a:r>
              <a:r>
                <a:rPr lang="en-US" b="0"/>
                <a:t>higher than 2, so this becomes a right-tailed test</a:t>
              </a:r>
              <a:r>
                <a:rPr lang="en-US"/>
                <a:t>.</a:t>
              </a:r>
            </a:p>
            <a:p>
              <a:r>
                <a:rPr lang="en-US" b="1"/>
                <a:t>Step 2</a:t>
              </a:r>
            </a:p>
            <a:p>
              <a:r>
                <a:rPr lang="en-US"/>
                <a:t>Since the sample size is reasonably large (n = 66) and I do not know the population standard deviation, the correct procedure is to use a </a:t>
              </a:r>
              <a:r>
                <a:rPr lang="en-US" b="0"/>
                <a:t>one-sample t-test with df = 65</a:t>
              </a:r>
              <a:r>
                <a:rPr lang="en-US"/>
                <a:t>.</a:t>
              </a:r>
            </a:p>
            <a:p>
              <a:r>
                <a:rPr lang="en-US" b="1"/>
                <a:t>Step 3</a:t>
              </a:r>
            </a:p>
            <a:p>
              <a:r>
                <a:rPr lang="en-US"/>
                <a:t>To find the test statistic, I used the formula</a:t>
              </a:r>
            </a:p>
            <a:p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𝑡=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(𝑥┴ˉ−𝜇_0)/(𝑠/√𝑛)</a:t>
              </a:r>
              <a:endParaRPr lang="ar-AE"/>
            </a:p>
            <a:p>
              <a:r>
                <a:rPr lang="en-US"/>
                <a:t>where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𝑥┴ˉ=6</a:t>
              </a:r>
              <a:endParaRPr lang="ar-AE"/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𝜇_0=2</a:t>
              </a:r>
              <a:endParaRPr lang="ar-AE"/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𝑠=6</a:t>
              </a:r>
              <a:endParaRPr lang="ar-AE"/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𝑛=66</a:t>
              </a:r>
              <a:endParaRPr lang="ar-AE"/>
            </a:p>
            <a:p>
              <a:r>
                <a:rPr lang="en-US"/>
                <a:t>Plugging these values into the formula gives the t-value for the test.</a:t>
              </a:r>
            </a:p>
            <a:p>
              <a:r>
                <a:rPr lang="en-US" b="1"/>
                <a:t>Step 4</a:t>
              </a:r>
            </a:p>
            <a:p>
              <a:r>
                <a:rPr lang="en-US"/>
                <a:t>To determine the rejection region, I used Excel’s function </a:t>
              </a:r>
              <a:r>
                <a:rPr lang="en-US" b="0"/>
                <a:t>T.INV(1 − </a:t>
              </a:r>
              <a:r>
                <a:rPr lang="el-GR" b="0"/>
                <a:t>α, </a:t>
              </a:r>
              <a:r>
                <a:rPr lang="en-US" b="0"/>
                <a:t>df) </a:t>
              </a:r>
              <a:r>
                <a:rPr lang="en-US"/>
                <a:t>with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𝛼=0.05</a:t>
              </a:r>
              <a:r>
                <a:rPr lang="en-US"/>
                <a:t>.</a:t>
              </a:r>
              <a:br>
                <a:rPr lang="en-US"/>
              </a:br>
              <a:r>
                <a:rPr lang="en-US"/>
                <a:t>This gives the </a:t>
              </a:r>
              <a:r>
                <a:rPr lang="en-US" b="0"/>
                <a:t>critical t-value </a:t>
              </a:r>
              <a:r>
                <a:rPr lang="en-US"/>
                <a:t>for a right-tailed test.</a:t>
              </a:r>
              <a:br>
                <a:rPr lang="en-US"/>
              </a:br>
              <a:r>
                <a:rPr lang="en-US"/>
                <a:t>Then I compared my calculated t-statistic with this critical value to decide whether or not to reject the null hypothesis.</a:t>
              </a:r>
            </a:p>
            <a:p>
              <a:r>
                <a:rPr lang="en-US" b="1"/>
                <a:t>Step 5</a:t>
              </a:r>
            </a:p>
            <a:p>
              <a:r>
                <a:rPr lang="en-US"/>
                <a:t>After comparing the two values, I made a conclusion about the company’s claim.</a:t>
              </a:r>
              <a:br>
                <a:rPr lang="en-US"/>
              </a:br>
              <a:r>
                <a:rPr lang="en-US"/>
                <a:t>If the test statistic exceeds the critical value, that means there is enough evidence at the 5% significance level to say the true average number of fires is </a:t>
              </a:r>
              <a:r>
                <a:rPr lang="en-US" b="1"/>
                <a:t>greater than 2</a:t>
              </a:r>
              <a:r>
                <a:rPr lang="en-US"/>
                <a:t>, suggesting that the company’s “fewer than two fires per year” claim is not supported by the data.</a:t>
              </a:r>
            </a:p>
            <a:p>
              <a:endParaRPr lang="en-US" sz="1100"/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4452FD33-DFE7-0D1B-2773-0A27AD2B068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6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70EB9F-420E-45D9-987E-A41362513ADF}" name="Table2" displayName="Table2" ref="B6:C14" totalsRowShown="0" headerRowBorderDxfId="10" tableBorderDxfId="9" totalsRowBorderDxfId="8">
  <autoFilter ref="B6:C14" xr:uid="{C970EB9F-420E-45D9-987E-A41362513ADF}"/>
  <tableColumns count="2">
    <tableColumn id="1" xr3:uid="{34E5A93C-F7C4-47DD-82B4-C38E66E7291D}" name="Formulas" dataDxfId="7"/>
    <tableColumn id="2" xr3:uid="{AC3FA599-847D-479F-B397-043F03D76C79}" name="Descrip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E25E6C-6B62-4B7C-A903-D042B5E2BEB7}" name="Table3" displayName="Table3" ref="B21:C25" totalsRowShown="0" headerRowDxfId="5" headerRowBorderDxfId="4" tableBorderDxfId="3" totalsRowBorderDxfId="2">
  <autoFilter ref="B21:C25" xr:uid="{03E25E6C-6B62-4B7C-A903-D042B5E2BEB7}"/>
  <tableColumns count="2">
    <tableColumn id="1" xr3:uid="{0248AD4F-C2AA-4845-8493-7FF221E53AEC}" name="Formulas" dataDxfId="1"/>
    <tableColumn id="2" xr3:uid="{5E95AB62-1727-4987-B442-80F2FA863B19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7D4A-DBCA-4ECF-BA6B-8A2D9934A6C5}">
  <dimension ref="A7:D106"/>
  <sheetViews>
    <sheetView topLeftCell="A94" workbookViewId="0">
      <selection activeCell="E109" sqref="E109"/>
    </sheetView>
  </sheetViews>
  <sheetFormatPr defaultRowHeight="15" x14ac:dyDescent="0.25"/>
  <cols>
    <col min="2" max="2" width="20.7109375" customWidth="1"/>
    <col min="3" max="3" width="9.140625" hidden="1" customWidth="1"/>
  </cols>
  <sheetData>
    <row r="7" spans="1:2" x14ac:dyDescent="0.25">
      <c r="A7">
        <f>_xlfn.NORM.S.INV(1 - 0.15/2)</f>
        <v>1.4395314709384563</v>
      </c>
      <c r="B7" s="1" t="s">
        <v>0</v>
      </c>
    </row>
    <row r="21" spans="1:4" x14ac:dyDescent="0.25">
      <c r="A21" s="10">
        <f>1 - _xlfn.NORM.S.DIST(2.576, TRUE)</f>
        <v>4.9975323157349649E-3</v>
      </c>
      <c r="B21" s="10" t="s">
        <v>3</v>
      </c>
      <c r="C21" s="10"/>
      <c r="D21" s="10"/>
    </row>
    <row r="22" spans="1:4" x14ac:dyDescent="0.25">
      <c r="A22" s="10">
        <f>2*(1 - _xlfn.NORM.S.DIST(2.576, TRUE))</f>
        <v>9.9950646314699299E-3</v>
      </c>
      <c r="B22" s="10" t="s">
        <v>1</v>
      </c>
      <c r="C22" s="10"/>
      <c r="D22" s="10"/>
    </row>
    <row r="23" spans="1:4" x14ac:dyDescent="0.25">
      <c r="A23" s="10">
        <f>1 - (2*(1 - _xlfn.NORM.S.DIST(2.576, TRUE)))</f>
        <v>0.99000493536853007</v>
      </c>
      <c r="B23" s="10" t="s">
        <v>2</v>
      </c>
      <c r="C23" s="10"/>
      <c r="D23" s="10"/>
    </row>
    <row r="24" spans="1:4" x14ac:dyDescent="0.25">
      <c r="A24" s="10"/>
      <c r="B24" s="10"/>
      <c r="C24" s="10"/>
      <c r="D24" s="10"/>
    </row>
    <row r="37" spans="1:2" x14ac:dyDescent="0.25">
      <c r="A37" s="10">
        <f>_xlfn.NORM.S.INV(1 - 0.1/2)</f>
        <v>1.6448536269514715</v>
      </c>
      <c r="B37" s="10" t="s">
        <v>5</v>
      </c>
    </row>
    <row r="38" spans="1:2" x14ac:dyDescent="0.25">
      <c r="A38" s="10">
        <f>(1.64485 * 9.2 / 2.2)^2</f>
        <v>47.313261996776838</v>
      </c>
      <c r="B38" s="10" t="s">
        <v>6</v>
      </c>
    </row>
    <row r="39" spans="1:2" x14ac:dyDescent="0.25">
      <c r="A39" s="10">
        <f>ROUNDUP(A38, 0)</f>
        <v>48</v>
      </c>
      <c r="B39" s="10" t="s">
        <v>4</v>
      </c>
    </row>
    <row r="74" spans="1:2" x14ac:dyDescent="0.25">
      <c r="A74" s="10">
        <f>10 / SQRT(75)</f>
        <v>1.1547005383792515</v>
      </c>
      <c r="B74" s="10" t="s">
        <v>8</v>
      </c>
    </row>
    <row r="75" spans="1:2" x14ac:dyDescent="0.25">
      <c r="A75" s="10">
        <f>1.96 * (10 / SQRT(75))</f>
        <v>2.2632130552233329</v>
      </c>
      <c r="B75" s="10" t="s">
        <v>7</v>
      </c>
    </row>
    <row r="80" spans="1:2" x14ac:dyDescent="0.25">
      <c r="A80" s="10">
        <f>50.1 - 2.26</f>
        <v>47.84</v>
      </c>
      <c r="B80" s="10" t="s">
        <v>9</v>
      </c>
    </row>
    <row r="81" spans="1:3" x14ac:dyDescent="0.25">
      <c r="A81" s="10">
        <f>50.1 + 2.26</f>
        <v>52.36</v>
      </c>
      <c r="B81" s="10" t="s">
        <v>10</v>
      </c>
    </row>
    <row r="90" spans="1:3" x14ac:dyDescent="0.25">
      <c r="A90" s="10">
        <f>_xlfn.CONFIDENCE.NORM(0.05, 10, 75)</f>
        <v>2.2631714681523429</v>
      </c>
      <c r="B90" s="10" t="s">
        <v>11</v>
      </c>
      <c r="C90" s="10"/>
    </row>
    <row r="91" spans="1:3" x14ac:dyDescent="0.25">
      <c r="A91" s="10">
        <f>50.1 - _xlfn.CONFIDENCE.NORM(0.05, 10, 75)</f>
        <v>47.836828531847658</v>
      </c>
      <c r="B91" s="10" t="s">
        <v>12</v>
      </c>
      <c r="C91" s="10"/>
    </row>
    <row r="92" spans="1:3" x14ac:dyDescent="0.25">
      <c r="A92" s="10">
        <f>50.1 + _xlfn.CONFIDENCE.NORM(0.05, 10, 75)</f>
        <v>52.363171468152345</v>
      </c>
      <c r="B92" s="10" t="s">
        <v>13</v>
      </c>
      <c r="C92" s="10"/>
    </row>
    <row r="104" spans="1:2" x14ac:dyDescent="0.25">
      <c r="A104" s="10">
        <f>_xlfn.CONFIDENCE.NORM(0.05, 10, 75)</f>
        <v>2.2631714681523429</v>
      </c>
      <c r="B104" s="10" t="s">
        <v>14</v>
      </c>
    </row>
    <row r="105" spans="1:2" x14ac:dyDescent="0.25">
      <c r="A105" s="10">
        <f>50.1 - _xlfn.CONFIDENCE.NORM(0.05, 10, 75)</f>
        <v>47.836828531847658</v>
      </c>
      <c r="B105" s="10" t="s">
        <v>15</v>
      </c>
    </row>
    <row r="106" spans="1:2" x14ac:dyDescent="0.25">
      <c r="A106" s="10">
        <f>50.1 + _xlfn.CONFIDENCE.NORM(0.05, 10, 75)</f>
        <v>52.363171468152345</v>
      </c>
      <c r="B106" s="10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CA6C-8C36-421A-9DEF-59E056EBD571}">
  <dimension ref="A1:C41"/>
  <sheetViews>
    <sheetView topLeftCell="A33" workbookViewId="0">
      <selection activeCell="C7" sqref="C7"/>
    </sheetView>
  </sheetViews>
  <sheetFormatPr defaultRowHeight="15" x14ac:dyDescent="0.25"/>
  <cols>
    <col min="1" max="1" width="36" bestFit="1" customWidth="1"/>
    <col min="2" max="2" width="11.28515625" customWidth="1"/>
    <col min="3" max="3" width="18.140625" bestFit="1" customWidth="1"/>
    <col min="4" max="4" width="11.28515625" customWidth="1"/>
  </cols>
  <sheetData>
    <row r="1" spans="1:3" ht="15.75" x14ac:dyDescent="0.25">
      <c r="A1" s="12" t="s">
        <v>17</v>
      </c>
    </row>
    <row r="2" spans="1:3" x14ac:dyDescent="0.25">
      <c r="A2">
        <v>131</v>
      </c>
    </row>
    <row r="3" spans="1:3" x14ac:dyDescent="0.25">
      <c r="A3">
        <v>134</v>
      </c>
    </row>
    <row r="4" spans="1:3" x14ac:dyDescent="0.25">
      <c r="A4">
        <v>130</v>
      </c>
    </row>
    <row r="5" spans="1:3" x14ac:dyDescent="0.25">
      <c r="A5">
        <v>126</v>
      </c>
    </row>
    <row r="6" spans="1:3" x14ac:dyDescent="0.25">
      <c r="A6">
        <v>128</v>
      </c>
      <c r="B6" s="14" t="s">
        <v>26</v>
      </c>
      <c r="C6" s="15" t="s">
        <v>27</v>
      </c>
    </row>
    <row r="7" spans="1:3" x14ac:dyDescent="0.25">
      <c r="A7">
        <v>132</v>
      </c>
      <c r="B7" s="13">
        <f>AVERAGE(A2:A41)</f>
        <v>130</v>
      </c>
      <c r="C7" s="10" t="s">
        <v>19</v>
      </c>
    </row>
    <row r="8" spans="1:3" x14ac:dyDescent="0.25">
      <c r="A8">
        <v>132</v>
      </c>
      <c r="B8" s="13">
        <f>_xlfn.STDEV.S(A2:A41)</f>
        <v>4.0382783841251344</v>
      </c>
      <c r="C8" s="10" t="s">
        <v>18</v>
      </c>
    </row>
    <row r="9" spans="1:3" x14ac:dyDescent="0.25">
      <c r="A9">
        <v>126</v>
      </c>
      <c r="B9" s="13">
        <f>COUNT(A2:A41)</f>
        <v>40</v>
      </c>
      <c r="C9" s="10" t="s">
        <v>20</v>
      </c>
    </row>
    <row r="10" spans="1:3" x14ac:dyDescent="0.25">
      <c r="A10">
        <v>133</v>
      </c>
      <c r="B10" s="13">
        <f>COUNT(A2:A41) - 1</f>
        <v>39</v>
      </c>
      <c r="C10" s="10" t="s">
        <v>21</v>
      </c>
    </row>
    <row r="11" spans="1:3" x14ac:dyDescent="0.25">
      <c r="A11">
        <v>135</v>
      </c>
      <c r="B11" s="13">
        <f>_xlfn.T.INV.2T(0.05, 39)</f>
        <v>2.0226909200367595</v>
      </c>
      <c r="C11" s="10" t="s">
        <v>22</v>
      </c>
    </row>
    <row r="12" spans="1:3" x14ac:dyDescent="0.25">
      <c r="A12">
        <v>127</v>
      </c>
      <c r="B12" s="13">
        <f>_xlfn.T.INV.2T(0.05, COUNT(A2:A41)) * _xlfn.STDEV.S(A2:A41) / SQRT(COUNT(A2:A41))</f>
        <v>1.2904725546659488</v>
      </c>
      <c r="C12" s="10" t="s">
        <v>23</v>
      </c>
    </row>
    <row r="13" spans="1:3" x14ac:dyDescent="0.25">
      <c r="A13">
        <v>127</v>
      </c>
      <c r="B13" s="13">
        <f>AVERAGE(A2:A41) -
              (_xlfn.T.INV.2T(0.05, COUNT(A2:A41)) * _xlfn.STDEV.S(A2:A41) / SQRT(COUNT(A2:A41)))</f>
        <v>128.70952744533406</v>
      </c>
      <c r="C13" s="10" t="s">
        <v>24</v>
      </c>
    </row>
    <row r="14" spans="1:3" x14ac:dyDescent="0.25">
      <c r="A14">
        <v>135</v>
      </c>
      <c r="B14" s="17">
        <f>AVERAGE(A2:A41) +
              (_xlfn.T.INV.2T(0.05, COUNT(A2:A41)) * _xlfn.STDEV.S(A2:A41) / SQRT(COUNT(A2:A41)))</f>
        <v>131.29047255466594</v>
      </c>
      <c r="C14" s="18" t="s">
        <v>25</v>
      </c>
    </row>
    <row r="15" spans="1:3" x14ac:dyDescent="0.25">
      <c r="A15">
        <v>134</v>
      </c>
    </row>
    <row r="16" spans="1:3" x14ac:dyDescent="0.25">
      <c r="A16">
        <v>133</v>
      </c>
    </row>
    <row r="17" spans="1:3" x14ac:dyDescent="0.25">
      <c r="A17">
        <v>133</v>
      </c>
    </row>
    <row r="18" spans="1:3" x14ac:dyDescent="0.25">
      <c r="A18">
        <v>125</v>
      </c>
    </row>
    <row r="19" spans="1:3" x14ac:dyDescent="0.25">
      <c r="A19">
        <v>123</v>
      </c>
    </row>
    <row r="20" spans="1:3" x14ac:dyDescent="0.25">
      <c r="A20">
        <v>122</v>
      </c>
    </row>
    <row r="21" spans="1:3" x14ac:dyDescent="0.25">
      <c r="A21">
        <v>136</v>
      </c>
      <c r="B21" s="14" t="s">
        <v>26</v>
      </c>
      <c r="C21" s="16" t="s">
        <v>27</v>
      </c>
    </row>
    <row r="22" spans="1:3" x14ac:dyDescent="0.25">
      <c r="A22">
        <v>129</v>
      </c>
      <c r="B22" s="13">
        <f>_xlfn.CONFIDENCE.T(0.05, _xlfn.STDEV.S(A2:A41), COUNT(A2:A41))</f>
        <v>1.2915040831227484</v>
      </c>
      <c r="C22" s="11" t="s">
        <v>11</v>
      </c>
    </row>
    <row r="23" spans="1:3" x14ac:dyDescent="0.25">
      <c r="A23">
        <v>130</v>
      </c>
      <c r="B23" s="13">
        <f>AVERAGE(A2:A41)</f>
        <v>130</v>
      </c>
      <c r="C23" s="11" t="s">
        <v>28</v>
      </c>
    </row>
    <row r="24" spans="1:3" x14ac:dyDescent="0.25">
      <c r="A24">
        <v>134</v>
      </c>
      <c r="B24" s="13">
        <f xml:space="preserve"> B23 - _xlfn.CONFIDENCE.T(0.05, _xlfn.STDEV.S(A2:A41), COUNT(A2:A41))</f>
        <v>128.70849591687724</v>
      </c>
      <c r="C24" s="11" t="s">
        <v>29</v>
      </c>
    </row>
    <row r="25" spans="1:3" x14ac:dyDescent="0.25">
      <c r="A25">
        <v>131</v>
      </c>
      <c r="B25" s="17">
        <f xml:space="preserve"> B23 + _xlfn.CONFIDENCE.T(0.05, _xlfn.STDEV.S(A2:A41), COUNT(A2:A41))</f>
        <v>131.29150408312276</v>
      </c>
      <c r="C25" s="19" t="s">
        <v>30</v>
      </c>
    </row>
    <row r="26" spans="1:3" x14ac:dyDescent="0.25">
      <c r="A26">
        <v>126</v>
      </c>
    </row>
    <row r="27" spans="1:3" x14ac:dyDescent="0.25">
      <c r="A27">
        <v>127</v>
      </c>
    </row>
    <row r="28" spans="1:3" x14ac:dyDescent="0.25">
      <c r="A28">
        <v>128</v>
      </c>
    </row>
    <row r="29" spans="1:3" x14ac:dyDescent="0.25">
      <c r="A29">
        <v>133</v>
      </c>
    </row>
    <row r="30" spans="1:3" x14ac:dyDescent="0.25">
      <c r="A30">
        <v>125</v>
      </c>
    </row>
    <row r="31" spans="1:3" x14ac:dyDescent="0.25">
      <c r="A31">
        <v>134</v>
      </c>
    </row>
    <row r="32" spans="1:3" x14ac:dyDescent="0.25">
      <c r="A32">
        <v>127</v>
      </c>
    </row>
    <row r="33" spans="1:1" x14ac:dyDescent="0.25">
      <c r="A33">
        <v>124</v>
      </c>
    </row>
    <row r="34" spans="1:1" x14ac:dyDescent="0.25">
      <c r="A34">
        <v>123</v>
      </c>
    </row>
    <row r="35" spans="1:1" x14ac:dyDescent="0.25">
      <c r="A35">
        <v>128</v>
      </c>
    </row>
    <row r="36" spans="1:1" x14ac:dyDescent="0.25">
      <c r="A36">
        <v>135</v>
      </c>
    </row>
    <row r="37" spans="1:1" x14ac:dyDescent="0.25">
      <c r="A37">
        <v>137</v>
      </c>
    </row>
    <row r="38" spans="1:1" x14ac:dyDescent="0.25">
      <c r="A38">
        <v>130</v>
      </c>
    </row>
    <row r="39" spans="1:1" x14ac:dyDescent="0.25">
      <c r="A39">
        <v>131</v>
      </c>
    </row>
    <row r="40" spans="1:1" x14ac:dyDescent="0.25">
      <c r="A40">
        <v>132</v>
      </c>
    </row>
    <row r="41" spans="1:1" x14ac:dyDescent="0.25">
      <c r="A41">
        <v>134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E5BC-2A3D-4C6A-BFD7-9F8915877C0C}">
  <dimension ref="A1:F24"/>
  <sheetViews>
    <sheetView tabSelected="1" workbookViewId="0">
      <selection activeCell="C13" sqref="C13"/>
    </sheetView>
  </sheetViews>
  <sheetFormatPr defaultRowHeight="15" x14ac:dyDescent="0.25"/>
  <cols>
    <col min="1" max="1" width="12.85546875" bestFit="1" customWidth="1"/>
  </cols>
  <sheetData>
    <row r="1" spans="1:6" x14ac:dyDescent="0.25">
      <c r="A1" t="s">
        <v>31</v>
      </c>
    </row>
    <row r="2" spans="1:6" x14ac:dyDescent="0.25">
      <c r="A2">
        <v>131</v>
      </c>
    </row>
    <row r="3" spans="1:6" x14ac:dyDescent="0.25">
      <c r="A3">
        <v>134</v>
      </c>
    </row>
    <row r="4" spans="1:6" x14ac:dyDescent="0.25">
      <c r="A4">
        <v>130</v>
      </c>
    </row>
    <row r="5" spans="1:6" x14ac:dyDescent="0.25">
      <c r="A5">
        <v>126</v>
      </c>
    </row>
    <row r="6" spans="1:6" x14ac:dyDescent="0.25">
      <c r="A6">
        <v>128</v>
      </c>
    </row>
    <row r="7" spans="1:6" x14ac:dyDescent="0.25">
      <c r="A7">
        <v>132</v>
      </c>
    </row>
    <row r="8" spans="1:6" x14ac:dyDescent="0.25">
      <c r="A8">
        <v>132</v>
      </c>
    </row>
    <row r="9" spans="1:6" x14ac:dyDescent="0.25">
      <c r="A9">
        <v>126</v>
      </c>
    </row>
    <row r="10" spans="1:6" ht="15.75" thickBot="1" x14ac:dyDescent="0.3">
      <c r="A10">
        <v>133</v>
      </c>
    </row>
    <row r="11" spans="1:6" x14ac:dyDescent="0.25">
      <c r="A11">
        <v>135</v>
      </c>
      <c r="C11" s="2">
        <f>COUNT(A2:A11)</f>
        <v>10</v>
      </c>
      <c r="D11" s="3" t="s">
        <v>20</v>
      </c>
      <c r="E11" s="3"/>
      <c r="F11" s="4"/>
    </row>
    <row r="12" spans="1:6" x14ac:dyDescent="0.25">
      <c r="C12" s="5">
        <f>COUNT(A2:A11)-1</f>
        <v>9</v>
      </c>
      <c r="D12" t="s">
        <v>32</v>
      </c>
      <c r="F12" s="6"/>
    </row>
    <row r="13" spans="1:6" x14ac:dyDescent="0.25">
      <c r="C13" s="5">
        <f>_xlfn.STDEV.S(A2:A11)</f>
        <v>3.1640339933558095</v>
      </c>
      <c r="D13" t="s">
        <v>18</v>
      </c>
      <c r="F13" s="6"/>
    </row>
    <row r="14" spans="1:6" ht="15.75" thickBot="1" x14ac:dyDescent="0.3">
      <c r="C14" s="7">
        <f>_xlfn.VAR.S(A2:A11)</f>
        <v>10.011111111111109</v>
      </c>
      <c r="D14" s="8" t="s">
        <v>33</v>
      </c>
      <c r="E14" s="8"/>
      <c r="F14" s="9"/>
    </row>
    <row r="16" spans="1:6" ht="15.75" thickBot="1" x14ac:dyDescent="0.3"/>
    <row r="17" spans="3:5" x14ac:dyDescent="0.25">
      <c r="C17" s="2">
        <f>_xlfn.CHISQ.INV.RT(0.025, 9)</f>
        <v>19.022767798641635</v>
      </c>
      <c r="D17" s="3" t="s">
        <v>34</v>
      </c>
      <c r="E17" s="4"/>
    </row>
    <row r="18" spans="3:5" ht="15.75" thickBot="1" x14ac:dyDescent="0.3">
      <c r="C18" s="7">
        <f>_xlfn.CHISQ.INV.RT(0.975, 9)</f>
        <v>2.7003894999803584</v>
      </c>
      <c r="D18" s="8" t="s">
        <v>35</v>
      </c>
      <c r="E18" s="9"/>
    </row>
    <row r="20" spans="3:5" ht="15.75" thickBot="1" x14ac:dyDescent="0.3"/>
    <row r="21" spans="3:5" x14ac:dyDescent="0.25">
      <c r="C21" s="2">
        <f>(9 * _xlfn.VAR.S(A2:A11)) / _xlfn.CHISQ.INV.RT(0.975, 9)</f>
        <v>33.365557080063944</v>
      </c>
      <c r="D21" s="3" t="s">
        <v>36</v>
      </c>
      <c r="E21" s="4"/>
    </row>
    <row r="22" spans="3:5" x14ac:dyDescent="0.25">
      <c r="C22" s="5">
        <f>(9 * _xlfn.VAR.S(A2:A11)) / _xlfn.CHISQ.INV.RT(0.025, 9)</f>
        <v>4.7364295750082057</v>
      </c>
      <c r="D22" t="s">
        <v>37</v>
      </c>
      <c r="E22" s="6"/>
    </row>
    <row r="23" spans="3:5" x14ac:dyDescent="0.25">
      <c r="C23" s="5">
        <f>SQRT( (9 * _xlfn.VAR.S(A2:A11)) / _xlfn.CHISQ.INV.RT(0.975, 9) )</f>
        <v>5.7762926761084348</v>
      </c>
      <c r="D23" t="s">
        <v>38</v>
      </c>
      <c r="E23" s="6"/>
    </row>
    <row r="24" spans="3:5" ht="15.75" thickBot="1" x14ac:dyDescent="0.3">
      <c r="C24" s="7">
        <f>SQRT( (9 * _xlfn.VAR.S(A2:A11)) / _xlfn.CHISQ.INV.RT(0.025, 9) )</f>
        <v>2.1763339759807558</v>
      </c>
      <c r="D24" s="8" t="s">
        <v>39</v>
      </c>
      <c r="E24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A78B-A6D0-49EB-BC0D-5C2B54D79613}">
  <dimension ref="A1:B25"/>
  <sheetViews>
    <sheetView workbookViewId="0"/>
  </sheetViews>
  <sheetFormatPr defaultRowHeight="15" x14ac:dyDescent="0.25"/>
  <cols>
    <col min="1" max="1" width="28" bestFit="1" customWidth="1"/>
    <col min="2" max="2" width="12" bestFit="1" customWidth="1"/>
  </cols>
  <sheetData>
    <row r="1" spans="1:2" ht="19.5" thickBot="1" x14ac:dyDescent="0.35">
      <c r="A1" s="21" t="s">
        <v>40</v>
      </c>
    </row>
    <row r="2" spans="1:2" x14ac:dyDescent="0.25">
      <c r="A2" s="2" t="s">
        <v>41</v>
      </c>
      <c r="B2" s="4">
        <v>66</v>
      </c>
    </row>
    <row r="3" spans="1:2" x14ac:dyDescent="0.25">
      <c r="A3" s="5" t="s">
        <v>19</v>
      </c>
      <c r="B3" s="6">
        <v>6</v>
      </c>
    </row>
    <row r="4" spans="1:2" x14ac:dyDescent="0.25">
      <c r="A4" s="5" t="s">
        <v>42</v>
      </c>
      <c r="B4" s="6">
        <v>6</v>
      </c>
    </row>
    <row r="5" spans="1:2" x14ac:dyDescent="0.25">
      <c r="A5" s="5" t="s">
        <v>44</v>
      </c>
      <c r="B5" s="6">
        <v>2</v>
      </c>
    </row>
    <row r="6" spans="1:2" x14ac:dyDescent="0.25">
      <c r="A6" s="5" t="s">
        <v>43</v>
      </c>
      <c r="B6" s="6">
        <v>0.05</v>
      </c>
    </row>
    <row r="7" spans="1:2" x14ac:dyDescent="0.25">
      <c r="A7" s="5"/>
      <c r="B7" s="6"/>
    </row>
    <row r="8" spans="1:2" x14ac:dyDescent="0.25">
      <c r="A8" s="20" t="s">
        <v>45</v>
      </c>
      <c r="B8" s="6"/>
    </row>
    <row r="9" spans="1:2" x14ac:dyDescent="0.25">
      <c r="A9" s="20" t="s">
        <v>46</v>
      </c>
      <c r="B9" s="6"/>
    </row>
    <row r="10" spans="1:2" x14ac:dyDescent="0.25">
      <c r="A10" s="20" t="s">
        <v>47</v>
      </c>
      <c r="B10" s="6"/>
    </row>
    <row r="11" spans="1:2" x14ac:dyDescent="0.25">
      <c r="A11" s="5"/>
      <c r="B11" s="6"/>
    </row>
    <row r="12" spans="1:2" x14ac:dyDescent="0.25">
      <c r="A12" s="20" t="s">
        <v>48</v>
      </c>
      <c r="B12" s="6">
        <f>B2-1</f>
        <v>65</v>
      </c>
    </row>
    <row r="13" spans="1:2" x14ac:dyDescent="0.25">
      <c r="A13" s="5"/>
      <c r="B13" s="6"/>
    </row>
    <row r="14" spans="1:2" x14ac:dyDescent="0.25">
      <c r="A14" s="20" t="s">
        <v>49</v>
      </c>
      <c r="B14" s="6">
        <f>(B3-B5)/(B4/SQRT(B2))</f>
        <v>5.41602560309064</v>
      </c>
    </row>
    <row r="15" spans="1:2" x14ac:dyDescent="0.25">
      <c r="A15" s="5"/>
      <c r="B15" s="6"/>
    </row>
    <row r="16" spans="1:2" x14ac:dyDescent="0.25">
      <c r="A16" s="20" t="s">
        <v>50</v>
      </c>
      <c r="B16" s="6">
        <f>_xlfn.T.INV(1-B6,B12)</f>
        <v>1.6686359758475535</v>
      </c>
    </row>
    <row r="17" spans="1:2" x14ac:dyDescent="0.25">
      <c r="A17" s="5"/>
      <c r="B17" s="6"/>
    </row>
    <row r="18" spans="1:2" x14ac:dyDescent="0.25">
      <c r="A18" s="20" t="s">
        <v>51</v>
      </c>
      <c r="B18" s="6"/>
    </row>
    <row r="19" spans="1:2" x14ac:dyDescent="0.25">
      <c r="A19" s="5" t="s">
        <v>52</v>
      </c>
      <c r="B19" s="6"/>
    </row>
    <row r="20" spans="1:2" x14ac:dyDescent="0.25">
      <c r="A20" s="5" t="s">
        <v>53</v>
      </c>
      <c r="B20" s="6"/>
    </row>
    <row r="21" spans="1:2" x14ac:dyDescent="0.25">
      <c r="A21" s="5"/>
      <c r="B21" s="6"/>
    </row>
    <row r="22" spans="1:2" x14ac:dyDescent="0.25">
      <c r="A22" s="5" t="s">
        <v>54</v>
      </c>
      <c r="B22" s="6" t="b">
        <v>1</v>
      </c>
    </row>
    <row r="23" spans="1:2" x14ac:dyDescent="0.25">
      <c r="A23" s="5"/>
      <c r="B23" s="6"/>
    </row>
    <row r="24" spans="1:2" x14ac:dyDescent="0.25">
      <c r="A24" s="5" t="s">
        <v>55</v>
      </c>
      <c r="B24" s="6">
        <f>TDIST(B14,B12,1)</f>
        <v>4.7439280854683925E-7</v>
      </c>
    </row>
    <row r="25" spans="1:2" ht="15.75" thickBot="1" x14ac:dyDescent="0.3">
      <c r="A25" s="7"/>
      <c r="B2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Kaur</dc:creator>
  <cp:lastModifiedBy>sandeep dhillon</cp:lastModifiedBy>
  <dcterms:created xsi:type="dcterms:W3CDTF">2025-11-24T02:05:51Z</dcterms:created>
  <dcterms:modified xsi:type="dcterms:W3CDTF">2025-12-04T17:12:31Z</dcterms:modified>
</cp:coreProperties>
</file>